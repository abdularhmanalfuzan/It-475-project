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2\Desktop\Masoud Projects\DA\2026\7\"/>
    </mc:Choice>
  </mc:AlternateContent>
  <xr:revisionPtr revIDLastSave="0" documentId="13_ncr:1_{B8F26D51-F377-4FB9-AD23-A09D77B2EA91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Dashboard" sheetId="1" r:id="rId1"/>
    <sheet name="Student Data" sheetId="2" r:id="rId2"/>
    <sheet name="READM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6" i="2" l="1"/>
  <c r="F66" i="2"/>
  <c r="H66" i="2" s="1"/>
  <c r="J66" i="2" s="1"/>
  <c r="I65" i="2"/>
  <c r="F65" i="2"/>
  <c r="H65" i="2" s="1"/>
  <c r="J65" i="2" s="1"/>
  <c r="I64" i="2"/>
  <c r="F64" i="2"/>
  <c r="H64" i="2" s="1"/>
  <c r="J64" i="2" s="1"/>
  <c r="I63" i="2"/>
  <c r="F63" i="2"/>
  <c r="H63" i="2" s="1"/>
  <c r="J63" i="2" s="1"/>
  <c r="I62" i="2"/>
  <c r="F62" i="2"/>
  <c r="H62" i="2" s="1"/>
  <c r="J62" i="2" s="1"/>
  <c r="I61" i="2"/>
  <c r="F61" i="2"/>
  <c r="H61" i="2" s="1"/>
  <c r="J61" i="2" s="1"/>
  <c r="I60" i="2"/>
  <c r="F60" i="2"/>
  <c r="H60" i="2" s="1"/>
  <c r="J60" i="2" s="1"/>
  <c r="I59" i="2"/>
  <c r="F59" i="2"/>
  <c r="H59" i="2" s="1"/>
  <c r="J59" i="2" s="1"/>
  <c r="I58" i="2"/>
  <c r="F58" i="2"/>
  <c r="H58" i="2" s="1"/>
  <c r="J58" i="2" s="1"/>
  <c r="I57" i="2"/>
  <c r="F57" i="2"/>
  <c r="H57" i="2" s="1"/>
  <c r="J57" i="2" s="1"/>
  <c r="I56" i="2"/>
  <c r="F56" i="2"/>
  <c r="H56" i="2" s="1"/>
  <c r="J56" i="2" s="1"/>
  <c r="I55" i="2"/>
  <c r="F55" i="2"/>
  <c r="H55" i="2" s="1"/>
  <c r="J55" i="2" s="1"/>
  <c r="I54" i="2"/>
  <c r="F54" i="2"/>
  <c r="H54" i="2" s="1"/>
  <c r="J54" i="2" s="1"/>
  <c r="I53" i="2"/>
  <c r="F53" i="2"/>
  <c r="H53" i="2" s="1"/>
  <c r="J53" i="2" s="1"/>
  <c r="I52" i="2"/>
  <c r="F52" i="2"/>
  <c r="H52" i="2" s="1"/>
  <c r="J52" i="2" s="1"/>
  <c r="I51" i="2"/>
  <c r="F51" i="2"/>
  <c r="H51" i="2" s="1"/>
  <c r="J51" i="2" s="1"/>
  <c r="I50" i="2"/>
  <c r="F50" i="2"/>
  <c r="H50" i="2" s="1"/>
  <c r="J50" i="2" s="1"/>
  <c r="I49" i="2"/>
  <c r="F49" i="2"/>
  <c r="H49" i="2" s="1"/>
  <c r="J49" i="2" s="1"/>
  <c r="I48" i="2"/>
  <c r="F48" i="2"/>
  <c r="H48" i="2" s="1"/>
  <c r="J48" i="2" s="1"/>
  <c r="I47" i="2"/>
  <c r="F47" i="2"/>
  <c r="H47" i="2" s="1"/>
  <c r="J47" i="2" s="1"/>
  <c r="I46" i="2"/>
  <c r="F46" i="2"/>
  <c r="H46" i="2" s="1"/>
  <c r="J46" i="2" s="1"/>
  <c r="I45" i="2"/>
  <c r="F45" i="2"/>
  <c r="H45" i="2" s="1"/>
  <c r="J45" i="2" s="1"/>
  <c r="I44" i="2"/>
  <c r="F44" i="2"/>
  <c r="H44" i="2" s="1"/>
  <c r="J44" i="2" s="1"/>
  <c r="I43" i="2"/>
  <c r="F43" i="2"/>
  <c r="H43" i="2" s="1"/>
  <c r="J43" i="2" s="1"/>
  <c r="I42" i="2"/>
  <c r="F42" i="2"/>
  <c r="H42" i="2" s="1"/>
  <c r="I41" i="2"/>
  <c r="F41" i="2"/>
  <c r="H41" i="2" s="1"/>
  <c r="J41" i="2" s="1"/>
  <c r="I40" i="2"/>
  <c r="F40" i="2"/>
  <c r="H40" i="2" s="1"/>
  <c r="J40" i="2" s="1"/>
  <c r="I39" i="2"/>
  <c r="F39" i="2"/>
  <c r="H39" i="2" s="1"/>
  <c r="J39" i="2" s="1"/>
  <c r="I38" i="2"/>
  <c r="F38" i="2"/>
  <c r="H38" i="2" s="1"/>
  <c r="J38" i="2" s="1"/>
  <c r="I37" i="2"/>
  <c r="F37" i="2"/>
  <c r="H37" i="2" s="1"/>
  <c r="J37" i="2" s="1"/>
  <c r="I36" i="2"/>
  <c r="F36" i="2"/>
  <c r="H36" i="2" s="1"/>
  <c r="J36" i="2" s="1"/>
  <c r="I35" i="2"/>
  <c r="F35" i="2"/>
  <c r="H35" i="2" s="1"/>
  <c r="J35" i="2" s="1"/>
  <c r="I34" i="2"/>
  <c r="F34" i="2"/>
  <c r="H34" i="2" s="1"/>
  <c r="J34" i="2" s="1"/>
  <c r="I33" i="2"/>
  <c r="F33" i="2"/>
  <c r="H33" i="2" s="1"/>
  <c r="J33" i="2" s="1"/>
  <c r="I32" i="2"/>
  <c r="F32" i="2"/>
  <c r="H32" i="2" s="1"/>
  <c r="J32" i="2" s="1"/>
  <c r="I31" i="2"/>
  <c r="F31" i="2"/>
  <c r="H31" i="2" s="1"/>
  <c r="J31" i="2" s="1"/>
  <c r="I30" i="2"/>
  <c r="F30" i="2"/>
  <c r="H30" i="2" s="1"/>
  <c r="J30" i="2" s="1"/>
  <c r="I29" i="2"/>
  <c r="F29" i="2"/>
  <c r="H29" i="2" s="1"/>
  <c r="J29" i="2" s="1"/>
  <c r="I28" i="2"/>
  <c r="F28" i="2"/>
  <c r="H28" i="2" s="1"/>
  <c r="J28" i="2" s="1"/>
  <c r="I27" i="2"/>
  <c r="F27" i="2"/>
  <c r="H27" i="2" s="1"/>
  <c r="J27" i="2" s="1"/>
  <c r="I26" i="2"/>
  <c r="F26" i="2"/>
  <c r="H26" i="2" s="1"/>
  <c r="J26" i="2" s="1"/>
  <c r="I25" i="2"/>
  <c r="F25" i="2"/>
  <c r="H25" i="2" s="1"/>
  <c r="J25" i="2" s="1"/>
  <c r="I24" i="2"/>
  <c r="F24" i="2"/>
  <c r="H24" i="2" s="1"/>
  <c r="J24" i="2" s="1"/>
  <c r="I23" i="2"/>
  <c r="F23" i="2"/>
  <c r="H23" i="2" s="1"/>
  <c r="J23" i="2" s="1"/>
  <c r="I22" i="2"/>
  <c r="F22" i="2"/>
  <c r="H22" i="2" s="1"/>
  <c r="J22" i="2" s="1"/>
  <c r="I21" i="2"/>
  <c r="F21" i="2"/>
  <c r="H21" i="2" s="1"/>
  <c r="J21" i="2" s="1"/>
  <c r="I20" i="2"/>
  <c r="F20" i="2"/>
  <c r="H20" i="2" s="1"/>
  <c r="J20" i="2" s="1"/>
  <c r="I19" i="2"/>
  <c r="F19" i="2"/>
  <c r="H19" i="2" s="1"/>
  <c r="J19" i="2" s="1"/>
  <c r="I18" i="2"/>
  <c r="F18" i="2"/>
  <c r="H18" i="2" s="1"/>
  <c r="J18" i="2" s="1"/>
  <c r="I17" i="2"/>
  <c r="F17" i="2"/>
  <c r="H17" i="2" s="1"/>
  <c r="J17" i="2" s="1"/>
  <c r="I16" i="2"/>
  <c r="F16" i="2"/>
  <c r="H16" i="2" s="1"/>
  <c r="J16" i="2" s="1"/>
  <c r="I15" i="2"/>
  <c r="F15" i="2"/>
  <c r="H15" i="2" s="1"/>
  <c r="J15" i="2" s="1"/>
  <c r="I14" i="2"/>
  <c r="F14" i="2"/>
  <c r="H14" i="2" s="1"/>
  <c r="J14" i="2" s="1"/>
  <c r="I13" i="2"/>
  <c r="F13" i="2"/>
  <c r="H13" i="2" s="1"/>
  <c r="J13" i="2" s="1"/>
  <c r="I12" i="2"/>
  <c r="F12" i="2"/>
  <c r="H12" i="2" s="1"/>
  <c r="J12" i="2" s="1"/>
  <c r="I11" i="2"/>
  <c r="F11" i="2"/>
  <c r="H11" i="2" s="1"/>
  <c r="J11" i="2" s="1"/>
  <c r="I10" i="2"/>
  <c r="F10" i="2"/>
  <c r="H10" i="2" s="1"/>
  <c r="J10" i="2" s="1"/>
  <c r="I9" i="2"/>
  <c r="F9" i="2"/>
  <c r="H9" i="2" s="1"/>
  <c r="J9" i="2" s="1"/>
  <c r="I8" i="2"/>
  <c r="F8" i="2"/>
  <c r="H8" i="2" s="1"/>
  <c r="J8" i="2" s="1"/>
  <c r="I7" i="2"/>
  <c r="F7" i="2"/>
  <c r="H7" i="2" s="1"/>
  <c r="J7" i="2" s="1"/>
  <c r="I6" i="2"/>
  <c r="F6" i="2"/>
  <c r="H6" i="2" s="1"/>
  <c r="J6" i="2" s="1"/>
  <c r="I5" i="2"/>
  <c r="F5" i="2"/>
  <c r="H5" i="2" s="1"/>
  <c r="J5" i="2" s="1"/>
  <c r="I4" i="2"/>
  <c r="F4" i="2"/>
  <c r="H4" i="2" s="1"/>
  <c r="J4" i="2" s="1"/>
  <c r="I3" i="2"/>
  <c r="F3" i="2"/>
  <c r="H3" i="2" s="1"/>
  <c r="J3" i="2" s="1"/>
  <c r="I2" i="2"/>
  <c r="F2" i="2"/>
  <c r="H2" i="2" s="1"/>
  <c r="N3" i="1"/>
  <c r="A6" i="1" s="1"/>
  <c r="J42" i="2" l="1"/>
  <c r="L66" i="2"/>
  <c r="M66" i="2"/>
  <c r="N66" i="2"/>
  <c r="O66" i="2"/>
  <c r="P66" i="2"/>
  <c r="Q66" i="2"/>
  <c r="L65" i="2"/>
  <c r="M65" i="2"/>
  <c r="N65" i="2"/>
  <c r="O65" i="2"/>
  <c r="P65" i="2"/>
  <c r="Q65" i="2"/>
  <c r="L64" i="2"/>
  <c r="M64" i="2"/>
  <c r="N64" i="2"/>
  <c r="O64" i="2"/>
  <c r="P64" i="2"/>
  <c r="Q64" i="2"/>
  <c r="L63" i="2"/>
  <c r="M63" i="2"/>
  <c r="N63" i="2"/>
  <c r="O63" i="2"/>
  <c r="P63" i="2"/>
  <c r="Q63" i="2"/>
  <c r="L62" i="2"/>
  <c r="M62" i="2"/>
  <c r="N62" i="2"/>
  <c r="O62" i="2"/>
  <c r="P62" i="2"/>
  <c r="Q62" i="2"/>
  <c r="L61" i="2"/>
  <c r="M61" i="2"/>
  <c r="N61" i="2"/>
  <c r="O61" i="2"/>
  <c r="P61" i="2"/>
  <c r="Q61" i="2"/>
  <c r="L60" i="2"/>
  <c r="M60" i="2"/>
  <c r="N60" i="2"/>
  <c r="O60" i="2"/>
  <c r="P60" i="2"/>
  <c r="Q60" i="2"/>
  <c r="L59" i="2"/>
  <c r="M59" i="2"/>
  <c r="N59" i="2"/>
  <c r="O59" i="2"/>
  <c r="P59" i="2"/>
  <c r="Q59" i="2"/>
  <c r="L58" i="2"/>
  <c r="M58" i="2"/>
  <c r="N58" i="2"/>
  <c r="O58" i="2"/>
  <c r="P58" i="2"/>
  <c r="Q58" i="2"/>
  <c r="L57" i="2"/>
  <c r="M57" i="2"/>
  <c r="N57" i="2"/>
  <c r="O57" i="2"/>
  <c r="P57" i="2"/>
  <c r="Q57" i="2"/>
  <c r="L56" i="2"/>
  <c r="M56" i="2"/>
  <c r="N56" i="2"/>
  <c r="O56" i="2"/>
  <c r="P56" i="2"/>
  <c r="Q56" i="2"/>
  <c r="L55" i="2"/>
  <c r="M55" i="2"/>
  <c r="N55" i="2"/>
  <c r="O55" i="2"/>
  <c r="P55" i="2"/>
  <c r="Q55" i="2"/>
  <c r="L54" i="2"/>
  <c r="M54" i="2"/>
  <c r="N54" i="2"/>
  <c r="O54" i="2"/>
  <c r="P54" i="2"/>
  <c r="Q54" i="2"/>
  <c r="L53" i="2"/>
  <c r="M53" i="2"/>
  <c r="N53" i="2"/>
  <c r="O53" i="2"/>
  <c r="P53" i="2"/>
  <c r="Q53" i="2"/>
  <c r="L52" i="2"/>
  <c r="M52" i="2"/>
  <c r="N52" i="2"/>
  <c r="O52" i="2"/>
  <c r="P52" i="2"/>
  <c r="Q52" i="2"/>
  <c r="L51" i="2"/>
  <c r="M51" i="2"/>
  <c r="N51" i="2"/>
  <c r="O51" i="2"/>
  <c r="P51" i="2"/>
  <c r="Q51" i="2"/>
  <c r="L50" i="2"/>
  <c r="M50" i="2"/>
  <c r="N50" i="2"/>
  <c r="O50" i="2"/>
  <c r="P50" i="2"/>
  <c r="Q50" i="2"/>
  <c r="L49" i="2"/>
  <c r="M49" i="2"/>
  <c r="N49" i="2"/>
  <c r="O49" i="2"/>
  <c r="P49" i="2"/>
  <c r="Q49" i="2"/>
  <c r="L48" i="2"/>
  <c r="M48" i="2"/>
  <c r="N48" i="2"/>
  <c r="O48" i="2"/>
  <c r="P48" i="2"/>
  <c r="Q48" i="2"/>
  <c r="L47" i="2"/>
  <c r="M47" i="2"/>
  <c r="N47" i="2"/>
  <c r="O47" i="2"/>
  <c r="P47" i="2"/>
  <c r="Q47" i="2"/>
  <c r="L46" i="2"/>
  <c r="M46" i="2"/>
  <c r="N46" i="2"/>
  <c r="O46" i="2"/>
  <c r="P46" i="2"/>
  <c r="Q46" i="2"/>
  <c r="L45" i="2"/>
  <c r="M45" i="2"/>
  <c r="N45" i="2"/>
  <c r="O45" i="2"/>
  <c r="P45" i="2"/>
  <c r="Q45" i="2"/>
  <c r="L44" i="2"/>
  <c r="M44" i="2"/>
  <c r="N44" i="2"/>
  <c r="O44" i="2"/>
  <c r="P44" i="2"/>
  <c r="Q44" i="2"/>
  <c r="M43" i="2"/>
  <c r="N43" i="2"/>
  <c r="O43" i="2"/>
  <c r="P43" i="2"/>
  <c r="Q43" i="2"/>
  <c r="L43" i="2"/>
  <c r="L41" i="2"/>
  <c r="M41" i="2"/>
  <c r="N41" i="2"/>
  <c r="O41" i="2"/>
  <c r="P41" i="2"/>
  <c r="Q41" i="2"/>
  <c r="L40" i="2"/>
  <c r="M40" i="2"/>
  <c r="N40" i="2"/>
  <c r="O40" i="2"/>
  <c r="P40" i="2"/>
  <c r="Q40" i="2"/>
  <c r="L39" i="2"/>
  <c r="M39" i="2"/>
  <c r="N39" i="2"/>
  <c r="O39" i="2"/>
  <c r="P39" i="2"/>
  <c r="Q39" i="2"/>
  <c r="L38" i="2"/>
  <c r="M38" i="2"/>
  <c r="N38" i="2"/>
  <c r="O38" i="2"/>
  <c r="P38" i="2"/>
  <c r="Q38" i="2"/>
  <c r="L37" i="2"/>
  <c r="M37" i="2"/>
  <c r="N37" i="2"/>
  <c r="O37" i="2"/>
  <c r="P37" i="2"/>
  <c r="Q37" i="2"/>
  <c r="L36" i="2"/>
  <c r="N36" i="2"/>
  <c r="O36" i="2"/>
  <c r="M36" i="2"/>
  <c r="P36" i="2"/>
  <c r="Q36" i="2"/>
  <c r="N35" i="2"/>
  <c r="Q35" i="2"/>
  <c r="L35" i="2"/>
  <c r="M35" i="2"/>
  <c r="O35" i="2"/>
  <c r="P35" i="2"/>
  <c r="L34" i="2"/>
  <c r="M34" i="2"/>
  <c r="N34" i="2"/>
  <c r="O34" i="2"/>
  <c r="P34" i="2"/>
  <c r="Q34" i="2"/>
  <c r="L33" i="2"/>
  <c r="M33" i="2"/>
  <c r="N33" i="2"/>
  <c r="O33" i="2"/>
  <c r="P33" i="2"/>
  <c r="Q33" i="2"/>
  <c r="L32" i="2"/>
  <c r="M32" i="2"/>
  <c r="N32" i="2"/>
  <c r="O32" i="2"/>
  <c r="P32" i="2"/>
  <c r="Q32" i="2"/>
  <c r="L31" i="2"/>
  <c r="M31" i="2"/>
  <c r="N31" i="2"/>
  <c r="O31" i="2"/>
  <c r="P31" i="2"/>
  <c r="Q31" i="2"/>
  <c r="L30" i="2"/>
  <c r="M30" i="2"/>
  <c r="N30" i="2"/>
  <c r="O30" i="2"/>
  <c r="P30" i="2"/>
  <c r="Q30" i="2"/>
  <c r="L29" i="2"/>
  <c r="M29" i="2"/>
  <c r="N29" i="2"/>
  <c r="O29" i="2"/>
  <c r="P29" i="2"/>
  <c r="Q29" i="2"/>
  <c r="L28" i="2"/>
  <c r="M28" i="2"/>
  <c r="N28" i="2"/>
  <c r="O28" i="2"/>
  <c r="P28" i="2"/>
  <c r="Q28" i="2"/>
  <c r="L27" i="2"/>
  <c r="M27" i="2"/>
  <c r="N27" i="2"/>
  <c r="O27" i="2"/>
  <c r="P27" i="2"/>
  <c r="Q27" i="2"/>
  <c r="L26" i="2"/>
  <c r="M26" i="2"/>
  <c r="N26" i="2"/>
  <c r="O26" i="2"/>
  <c r="P26" i="2"/>
  <c r="Q26" i="2"/>
  <c r="L25" i="2"/>
  <c r="M25" i="2"/>
  <c r="N25" i="2"/>
  <c r="O25" i="2"/>
  <c r="P25" i="2"/>
  <c r="Q25" i="2"/>
  <c r="L24" i="2"/>
  <c r="M24" i="2"/>
  <c r="N24" i="2"/>
  <c r="O24" i="2"/>
  <c r="P24" i="2"/>
  <c r="Q24" i="2"/>
  <c r="L23" i="2"/>
  <c r="M23" i="2"/>
  <c r="N23" i="2"/>
  <c r="O23" i="2"/>
  <c r="P23" i="2"/>
  <c r="Q23" i="2"/>
  <c r="L22" i="2"/>
  <c r="M22" i="2"/>
  <c r="N22" i="2"/>
  <c r="O22" i="2"/>
  <c r="P22" i="2"/>
  <c r="Q22" i="2"/>
  <c r="L21" i="2"/>
  <c r="M21" i="2"/>
  <c r="N21" i="2"/>
  <c r="O21" i="2"/>
  <c r="P21" i="2"/>
  <c r="Q21" i="2"/>
  <c r="L20" i="2"/>
  <c r="M20" i="2"/>
  <c r="N20" i="2"/>
  <c r="O20" i="2"/>
  <c r="P20" i="2"/>
  <c r="Q20" i="2"/>
  <c r="L19" i="2"/>
  <c r="M19" i="2"/>
  <c r="N19" i="2"/>
  <c r="O19" i="2"/>
  <c r="P19" i="2"/>
  <c r="Q19" i="2"/>
  <c r="L18" i="2"/>
  <c r="M18" i="2"/>
  <c r="N18" i="2"/>
  <c r="O18" i="2"/>
  <c r="P18" i="2"/>
  <c r="Q18" i="2"/>
  <c r="L17" i="2"/>
  <c r="M17" i="2"/>
  <c r="N17" i="2"/>
  <c r="O17" i="2"/>
  <c r="P17" i="2"/>
  <c r="Q17" i="2"/>
  <c r="N16" i="2"/>
  <c r="L16" i="2"/>
  <c r="M16" i="2"/>
  <c r="O16" i="2"/>
  <c r="P16" i="2"/>
  <c r="Q16" i="2"/>
  <c r="M15" i="2"/>
  <c r="P15" i="2"/>
  <c r="L15" i="2"/>
  <c r="N15" i="2"/>
  <c r="O15" i="2"/>
  <c r="Q15" i="2"/>
  <c r="M14" i="2"/>
  <c r="P14" i="2"/>
  <c r="L14" i="2"/>
  <c r="N14" i="2"/>
  <c r="O14" i="2"/>
  <c r="Q14" i="2"/>
  <c r="L13" i="2"/>
  <c r="N13" i="2"/>
  <c r="Q13" i="2"/>
  <c r="M13" i="2"/>
  <c r="P13" i="2"/>
  <c r="O13" i="2"/>
  <c r="L12" i="2"/>
  <c r="M12" i="2"/>
  <c r="N12" i="2"/>
  <c r="O12" i="2"/>
  <c r="P12" i="2"/>
  <c r="Q12" i="2"/>
  <c r="M11" i="2"/>
  <c r="O11" i="2"/>
  <c r="P11" i="2"/>
  <c r="L11" i="2"/>
  <c r="Q11" i="2"/>
  <c r="N11" i="2"/>
  <c r="O10" i="2"/>
  <c r="Q10" i="2"/>
  <c r="L10" i="2"/>
  <c r="N10" i="2"/>
  <c r="P10" i="2"/>
  <c r="M10" i="2"/>
  <c r="M9" i="2"/>
  <c r="L9" i="2"/>
  <c r="N9" i="2"/>
  <c r="O9" i="2"/>
  <c r="P9" i="2"/>
  <c r="Q9" i="2"/>
  <c r="L8" i="2"/>
  <c r="M8" i="2"/>
  <c r="N8" i="2"/>
  <c r="O8" i="2"/>
  <c r="P8" i="2"/>
  <c r="Q8" i="2"/>
  <c r="M7" i="2"/>
  <c r="L7" i="2"/>
  <c r="N7" i="2"/>
  <c r="O7" i="2"/>
  <c r="P7" i="2"/>
  <c r="Q7" i="2"/>
  <c r="N6" i="2"/>
  <c r="P6" i="2"/>
  <c r="Q6" i="2"/>
  <c r="L6" i="2"/>
  <c r="M6" i="2"/>
  <c r="O6" i="2"/>
  <c r="M5" i="2"/>
  <c r="O5" i="2"/>
  <c r="Q5" i="2"/>
  <c r="L5" i="2"/>
  <c r="N5" i="2"/>
  <c r="P5" i="2"/>
  <c r="L4" i="2"/>
  <c r="M4" i="2"/>
  <c r="N4" i="2"/>
  <c r="O4" i="2"/>
  <c r="P4" i="2"/>
  <c r="Q4" i="2"/>
  <c r="M3" i="2"/>
  <c r="P3" i="2"/>
  <c r="L3" i="2"/>
  <c r="N3" i="2"/>
  <c r="O3" i="2"/>
  <c r="Q3" i="2"/>
  <c r="J2" i="2"/>
  <c r="N7" i="1"/>
  <c r="N6" i="1"/>
  <c r="N5" i="1"/>
  <c r="N8" i="1"/>
  <c r="M42" i="2" l="1"/>
  <c r="N42" i="2"/>
  <c r="O42" i="2"/>
  <c r="Q42" i="2"/>
  <c r="L42" i="2"/>
  <c r="P42" i="2"/>
  <c r="N2" i="2"/>
  <c r="L2" i="2"/>
  <c r="O2" i="2"/>
  <c r="P2" i="2"/>
  <c r="Q2" i="2"/>
  <c r="M2" i="2"/>
  <c r="B16" i="1"/>
  <c r="G6" i="1"/>
  <c r="B24" i="1"/>
  <c r="E6" i="1"/>
  <c r="B15" i="1"/>
  <c r="C6" i="1"/>
  <c r="B14" i="1"/>
  <c r="B17" i="1"/>
  <c r="I6" i="1"/>
</calcChain>
</file>

<file path=xl/sharedStrings.xml><?xml version="1.0" encoding="utf-8"?>
<sst xmlns="http://schemas.openxmlformats.org/spreadsheetml/2006/main" count="123" uniqueCount="117">
  <si>
    <t>Calc Engine</t>
  </si>
  <si>
    <t>Total Students</t>
  </si>
  <si>
    <t>Academic-Only Fails</t>
  </si>
  <si>
    <t>Attendance-Only Fails</t>
  </si>
  <si>
    <t>Dual Fails (RED)</t>
  </si>
  <si>
    <t>Satisfactory</t>
  </si>
  <si>
    <t>students</t>
  </si>
  <si>
    <t>Fail-Reason Breakdown</t>
  </si>
  <si>
    <t>Reason</t>
  </si>
  <si>
    <t>Students</t>
  </si>
  <si>
    <t>Academic-Only</t>
  </si>
  <si>
    <t>Attendance-Only</t>
  </si>
  <si>
    <t>Dual Fail</t>
  </si>
  <si>
    <t>Weekly Dual-Fail Alert Trend (illustrative, single metric)</t>
  </si>
  <si>
    <t>Week</t>
  </si>
  <si>
    <t>Dual Fails</t>
  </si>
  <si>
    <t>Week 1 (current)</t>
  </si>
  <si>
    <t>Week 2</t>
  </si>
  <si>
    <t>Week 3</t>
  </si>
  <si>
    <t>Week 4</t>
  </si>
  <si>
    <t>Week 5</t>
  </si>
  <si>
    <t>Week 6</t>
  </si>
  <si>
    <t>Student ID</t>
  </si>
  <si>
    <t>Name</t>
  </si>
  <si>
    <t>Test 1</t>
  </si>
  <si>
    <t>Test 2</t>
  </si>
  <si>
    <t>Test 3</t>
  </si>
  <si>
    <t>Average</t>
  </si>
  <si>
    <t>Attendance %</t>
  </si>
  <si>
    <t>Academic Status</t>
  </si>
  <si>
    <t>Attendance Status</t>
  </si>
  <si>
    <t>Risk Category</t>
  </si>
  <si>
    <t>Attn(G)</t>
  </si>
  <si>
    <t>Avg(G)</t>
  </si>
  <si>
    <t>Attn(Y)</t>
  </si>
  <si>
    <t>Avg(Y)</t>
  </si>
  <si>
    <t>Attn(R)</t>
  </si>
  <si>
    <t>Avg(R)</t>
  </si>
  <si>
    <t>X0</t>
  </si>
  <si>
    <t>Y60</t>
  </si>
  <si>
    <t>X75</t>
  </si>
  <si>
    <t>Y0100</t>
  </si>
  <si>
    <t>Felix Ferreira</t>
  </si>
  <si>
    <t>Layla Adeyemi</t>
  </si>
  <si>
    <t>Gavin Blackwood</t>
  </si>
  <si>
    <t>Simone Rojas</t>
  </si>
  <si>
    <t>Wyatt Sinclair</t>
  </si>
  <si>
    <t>Nora Achebe</t>
  </si>
  <si>
    <t>Jaden Montoya</t>
  </si>
  <si>
    <t>Esme Larsson</t>
  </si>
  <si>
    <t>Cody Ekwueme</t>
  </si>
  <si>
    <t>Amara Villanueva</t>
  </si>
  <si>
    <t>Ronan Whitaker</t>
  </si>
  <si>
    <t>Leilani Kamau</t>
  </si>
  <si>
    <t>Miles Reyes</t>
  </si>
  <si>
    <t>Sadie Sundberg</t>
  </si>
  <si>
    <t>Quentin Okonkwo</t>
  </si>
  <si>
    <t>Julia Ashworth</t>
  </si>
  <si>
    <t>Marcus Dumont</t>
  </si>
  <si>
    <t>Sofia Kowalczyk</t>
  </si>
  <si>
    <t>Ibrahim Nwosu</t>
  </si>
  <si>
    <t>Chloe Beaumont</t>
  </si>
  <si>
    <t>Deshawn Larkspur</t>
  </si>
  <si>
    <t>Mei Yamada</t>
  </si>
  <si>
    <t>Anthony Oyelaran</t>
  </si>
  <si>
    <t>Valeria Fitzgerald</t>
  </si>
  <si>
    <t>Kenji Callahan</t>
  </si>
  <si>
    <t>Brianna Dobrescu</t>
  </si>
  <si>
    <t>Omar Anand</t>
  </si>
  <si>
    <t>Isla Mbeki</t>
  </si>
  <si>
    <t>Xavier Solheim</t>
  </si>
  <si>
    <t>Natasha Rasmussen</t>
  </si>
  <si>
    <t>Cole Nakashima</t>
  </si>
  <si>
    <t>Priyanka Everhart</t>
  </si>
  <si>
    <t>Jamal Okwuosa</t>
  </si>
  <si>
    <t>Hannah Delacroix</t>
  </si>
  <si>
    <t>Theo Halvorsen</t>
  </si>
  <si>
    <t>Selena Onyema</t>
  </si>
  <si>
    <t>Dominic Whitcombe</t>
  </si>
  <si>
    <t>Amina Falkner</t>
  </si>
  <si>
    <t>Bryce Iheanacho</t>
  </si>
  <si>
    <t>Kayla Brennan</t>
  </si>
  <si>
    <t>Rashid Castellano</t>
  </si>
  <si>
    <t>Vivian Adeyinka</t>
  </si>
  <si>
    <t>Elias Winterbourne</t>
  </si>
  <si>
    <t>Jada Osafo</t>
  </si>
  <si>
    <t>Connor Delacruz</t>
  </si>
  <si>
    <t>Simone Nakagawa</t>
  </si>
  <si>
    <t>Trey Blackthorn</t>
  </si>
  <si>
    <t>Anaya Umeh</t>
  </si>
  <si>
    <t>Beckett Fairweather</t>
  </si>
  <si>
    <t>Rosalind Solberg</t>
  </si>
  <si>
    <t>Marisol Achterberg</t>
  </si>
  <si>
    <t>Grant Nwachukwu</t>
  </si>
  <si>
    <t>Ainsley Holloway</t>
  </si>
  <si>
    <t>Devon Petrescu</t>
  </si>
  <si>
    <t>Kiara Adeleke</t>
  </si>
  <si>
    <t>Sterling Winslet</t>
  </si>
  <si>
    <t>Mireille Okoro</t>
  </si>
  <si>
    <t>Ezra Fairbanks</t>
  </si>
  <si>
    <t>Odalys Adegoke</t>
  </si>
  <si>
    <t>Pierce Larsen</t>
  </si>
  <si>
    <t>Grace Bennett</t>
  </si>
  <si>
    <t>Elena Osei</t>
  </si>
  <si>
    <t>Marcus Castillo</t>
  </si>
  <si>
    <t>Priya Nakamura</t>
  </si>
  <si>
    <t>Nathan Whitfield</t>
  </si>
  <si>
    <t>Rows: 65 fictional students, randomly generated.</t>
  </si>
  <si>
    <t>Columns F (Average), H (Academic Status), I (Attendance Status), and J (Risk Category)</t>
  </si>
  <si>
    <t>are LIVE FORMULAS - replacing columns C:E and G with real data recalculates everything.</t>
  </si>
  <si>
    <t>IMPORTANT - Orange setup: when you load this into Orange, set Academic Status and</t>
  </si>
  <si>
    <t>Attendance Status to META (not Feature) in the File widget. Leaving them as Features</t>
  </si>
  <si>
    <t>causes the Decision Tree to see the answer directly and score a meaningless 1.000.</t>
  </si>
  <si>
    <t>Excel + Orange SPSS workflow.</t>
  </si>
  <si>
    <t>Design : Fail-Reason Breakdown</t>
  </si>
  <si>
    <t>Column1</t>
  </si>
  <si>
    <t>SPSS Dashboard — Oakwood High School (65 students)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</si>
</sst>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\%"/>
  </numFmts>
  <fonts count="24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9"/>
      <color rgb="FFA6A6A6"/>
      <name val="Cambria"/>
      <charset val="1"/>
    </font>
    <font>
      <i/>
      <sz val="10"/>
      <color rgb="FF595959"/>
      <name val="Arial"/>
      <charset val="1"/>
    </font>
    <font>
      <b/>
      <sz val="17"/>
      <color rgb="FFFFFFFF"/>
      <name val="Arial"/>
      <charset val="1"/>
    </font>
    <font>
      <sz val="9"/>
      <color rgb="FFA6A6A6"/>
      <name val="Cambria"/>
      <charset val="1"/>
    </font>
    <font>
      <b/>
      <sz val="10"/>
      <color rgb="FFFFFFFF"/>
      <name val="Arial"/>
      <charset val="1"/>
    </font>
    <font>
      <b/>
      <sz val="24"/>
      <color rgb="FF1F3864"/>
      <name val="Arial"/>
      <charset val="1"/>
    </font>
    <font>
      <b/>
      <sz val="24"/>
      <color rgb="FFBF8F00"/>
      <name val="Arial"/>
      <charset val="1"/>
    </font>
    <font>
      <b/>
      <sz val="24"/>
      <color rgb="FFB45F06"/>
      <name val="Arial"/>
      <charset val="1"/>
    </font>
    <font>
      <b/>
      <sz val="24"/>
      <color rgb="FFC00000"/>
      <name val="Arial"/>
      <charset val="1"/>
    </font>
    <font>
      <b/>
      <sz val="24"/>
      <color rgb="FF548235"/>
      <name val="Arial"/>
      <charset val="1"/>
    </font>
    <font>
      <i/>
      <sz val="9"/>
      <color rgb="FF808080"/>
      <name val="Arial"/>
      <charset val="1"/>
    </font>
    <font>
      <b/>
      <sz val="10"/>
      <color rgb="FFFFFFFF"/>
      <name val="Cambria"/>
      <charset val="1"/>
    </font>
    <font>
      <b/>
      <sz val="10"/>
      <color rgb="FFBF8F00"/>
      <name val="Cambria"/>
      <charset val="1"/>
    </font>
    <font>
      <b/>
      <sz val="10"/>
      <color rgb="FFB45F06"/>
      <name val="Cambria"/>
      <charset val="1"/>
    </font>
    <font>
      <b/>
      <sz val="10"/>
      <color rgb="FFC00000"/>
      <name val="Cambria"/>
      <charset val="1"/>
    </font>
    <font>
      <b/>
      <sz val="10"/>
      <color rgb="FF548235"/>
      <name val="Cambria"/>
      <charset val="1"/>
    </font>
    <font>
      <b/>
      <sz val="11"/>
      <color rgb="FF146C6E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color rgb="FFC00000"/>
      <name val="Arial"/>
      <charset val="1"/>
    </font>
    <font>
      <sz val="11"/>
      <name val="Arial"/>
      <charset val="1"/>
    </font>
    <font>
      <b/>
      <sz val="11"/>
      <color rgb="FF146C6E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0000"/>
        <bgColor rgb="FF9C0006"/>
      </patternFill>
    </fill>
    <fill>
      <patternFill patternType="solid">
        <fgColor rgb="FF1F3864"/>
        <bgColor rgb="FF333333"/>
      </patternFill>
    </fill>
    <fill>
      <patternFill patternType="solid">
        <fgColor rgb="FFBF8F00"/>
        <bgColor rgb="FFB45F06"/>
      </patternFill>
    </fill>
    <fill>
      <patternFill patternType="solid">
        <fgColor rgb="FFB45F06"/>
        <bgColor rgb="FF9C6500"/>
      </patternFill>
    </fill>
    <fill>
      <patternFill patternType="solid">
        <fgColor rgb="FF548235"/>
        <bgColor rgb="FF595959"/>
      </patternFill>
    </fill>
    <fill>
      <patternFill patternType="solid">
        <fgColor rgb="FF146C6E"/>
        <bgColor rgb="FF008080"/>
      </patternFill>
    </fill>
    <fill>
      <patternFill patternType="solid">
        <fgColor rgb="FF2F5597"/>
        <bgColor rgb="FF146C6E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5" fillId="0" borderId="0" xfId="0" applyFont="1"/>
    <xf numFmtId="0" fontId="13" fillId="7" borderId="0" xfId="0" applyFont="1" applyFill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8" borderId="0" xfId="0" applyFont="1" applyFill="1" applyAlignment="1">
      <alignment horizontal="center" vertical="center"/>
    </xf>
    <xf numFmtId="0" fontId="20" fillId="0" borderId="0" xfId="0" applyFont="1" applyAlignment="1">
      <alignment horizontal="center"/>
    </xf>
    <xf numFmtId="164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165" fontId="0" fillId="0" borderId="0" xfId="0" applyNumberFormat="1"/>
    <xf numFmtId="164" fontId="0" fillId="0" borderId="0" xfId="0" applyNumberForma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1" fontId="11" fillId="0" borderId="2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/>
    </xf>
  </cellXfs>
  <cellStyles count="1">
    <cellStyle name="Normal" xfId="0" builtinId="0"/>
  </cellStyles>
  <dxfs count="13"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5" formatCode="0.0\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146C6E"/>
      <rgbColor rgb="FFA6A6A6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BF8F00"/>
      <rgbColor rgb="FFFF6600"/>
      <rgbColor rgb="FF595959"/>
      <rgbColor rgb="FF878787"/>
      <rgbColor rgb="FF1F3864"/>
      <rgbColor rgb="FF548235"/>
      <rgbColor rgb="FF003300"/>
      <rgbColor rgb="FF333300"/>
      <rgbColor rgb="FFB45F06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400" b="1" strike="noStrike" spc="-1">
                <a:solidFill>
                  <a:srgbClr val="000000"/>
                </a:solidFill>
                <a:latin typeface="Calibri"/>
              </a:rPr>
              <a:t>Fail-Reason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Dashboard!$B$13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BF8F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9646-4BCF-80FF-63833A5A0B11}"/>
              </c:ext>
            </c:extLst>
          </c:dPt>
          <c:dPt>
            <c:idx val="1"/>
            <c:invertIfNegative val="0"/>
            <c:bubble3D val="0"/>
            <c:spPr>
              <a:solidFill>
                <a:srgbClr val="B45F0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9646-4BCF-80FF-63833A5A0B11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9646-4BCF-80FF-63833A5A0B11}"/>
              </c:ext>
            </c:extLst>
          </c:dPt>
          <c:dPt>
            <c:idx val="3"/>
            <c:invertIfNegative val="0"/>
            <c:bubble3D val="0"/>
            <c:spPr>
              <a:solidFill>
                <a:srgbClr val="548235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9646-4BCF-80FF-63833A5A0B11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Dashboard!$A$14:$A$17</c:f>
              <c:strCache>
                <c:ptCount val="4"/>
                <c:pt idx="0">
                  <c:v>Academic-Only</c:v>
                </c:pt>
                <c:pt idx="1">
                  <c:v>Attendance-Only</c:v>
                </c:pt>
                <c:pt idx="2">
                  <c:v>Dual Fail</c:v>
                </c:pt>
                <c:pt idx="3">
                  <c:v>Satisfactory</c:v>
                </c:pt>
              </c:strCache>
            </c:strRef>
          </c:cat>
          <c:val>
            <c:numRef>
              <c:f>Dashboard!$B$14:$B$17</c:f>
              <c:numCache>
                <c:formatCode>General</c:formatCode>
                <c:ptCount val="4"/>
                <c:pt idx="0">
                  <c:v>12</c:v>
                </c:pt>
                <c:pt idx="1">
                  <c:v>11</c:v>
                </c:pt>
                <c:pt idx="2">
                  <c:v>9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646-4BCF-80FF-63833A5A0B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5116222"/>
        <c:axId val="92994987"/>
      </c:barChart>
      <c:catAx>
        <c:axId val="8511622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994987"/>
        <c:crosses val="autoZero"/>
        <c:auto val="1"/>
        <c:lblAlgn val="ctr"/>
        <c:lblOffset val="100"/>
        <c:noMultiLvlLbl val="0"/>
      </c:catAx>
      <c:valAx>
        <c:axId val="929949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51162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</c:legend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400" b="1" strike="noStrike" spc="-1">
                <a:solidFill>
                  <a:srgbClr val="000000"/>
                </a:solidFill>
                <a:latin typeface="Calibri"/>
              </a:rPr>
              <a:t>Weekly Dual-Fail Alert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Dashboard!$B$23</c:f>
              <c:strCache>
                <c:ptCount val="1"/>
                <c:pt idx="0">
                  <c:v>Dual Fails</c:v>
                </c:pt>
              </c:strCache>
            </c:strRef>
          </c:tx>
          <c:spPr>
            <a:ln w="24840">
              <a:solidFill>
                <a:srgbClr val="C00000"/>
              </a:solidFill>
              <a:round/>
            </a:ln>
          </c:spPr>
          <c:marker>
            <c:symbol val="circle"/>
            <c:size val="7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Dashboard!$A$24:$A$29</c:f>
              <c:strCache>
                <c:ptCount val="6"/>
                <c:pt idx="0">
                  <c:v>Week 1 (current)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</c:strCache>
            </c:strRef>
          </c:cat>
          <c:val>
            <c:numRef>
              <c:f>Dashboard!$B$24:$B$29</c:f>
              <c:numCache>
                <c:formatCode>General</c:formatCode>
                <c:ptCount val="6"/>
                <c:pt idx="0">
                  <c:v>9</c:v>
                </c:pt>
                <c:pt idx="1">
                  <c:v>6</c:v>
                </c:pt>
                <c:pt idx="2">
                  <c:v>6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8D9-4E99-AE08-602679622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1773807"/>
        <c:axId val="59933742"/>
      </c:lineChart>
      <c:catAx>
        <c:axId val="917738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933742"/>
        <c:crosses val="autoZero"/>
        <c:auto val="1"/>
        <c:lblAlgn val="ctr"/>
        <c:lblOffset val="100"/>
        <c:noMultiLvlLbl val="0"/>
      </c:catAx>
      <c:valAx>
        <c:axId val="5993374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Dual-Fail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7738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400" b="1" strike="noStrike" spc="-1">
                <a:solidFill>
                  <a:srgbClr val="000000"/>
                </a:solidFill>
                <a:latin typeface="Calibri"/>
              </a:rPr>
              <a:t>Risk Matrix (axes swapped): Attendance vs. Average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'Student Data'!$L$1</c:f>
              <c:strCache>
                <c:ptCount val="1"/>
                <c:pt idx="0">
                  <c:v>Attn(G)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5"/>
            <c:spPr>
              <a:solidFill>
                <a:srgbClr val="54823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'Student Data'!$M$2:$M$66</c:f>
              <c:strCache>
                <c:ptCount val="63"/>
                <c:pt idx="0">
                  <c:v>76.3</c:v>
                </c:pt>
                <c:pt idx="1">
                  <c:v>75.3</c:v>
                </c:pt>
                <c:pt idx="3">
                  <c:v>68.7</c:v>
                </c:pt>
                <c:pt idx="4">
                  <c:v>69.7</c:v>
                </c:pt>
                <c:pt idx="9">
                  <c:v>77.0</c:v>
                </c:pt>
                <c:pt idx="10">
                  <c:v>76.0</c:v>
                </c:pt>
                <c:pt idx="13">
                  <c:v>78.7</c:v>
                </c:pt>
                <c:pt idx="14">
                  <c:v>83.3</c:v>
                </c:pt>
                <c:pt idx="16">
                  <c:v>89.7</c:v>
                </c:pt>
                <c:pt idx="19">
                  <c:v>79.7</c:v>
                </c:pt>
                <c:pt idx="21">
                  <c:v>77.0</c:v>
                </c:pt>
                <c:pt idx="22">
                  <c:v>79.7</c:v>
                </c:pt>
                <c:pt idx="26">
                  <c:v>78.7</c:v>
                </c:pt>
                <c:pt idx="28">
                  <c:v>75.3</c:v>
                </c:pt>
                <c:pt idx="29">
                  <c:v>78.7</c:v>
                </c:pt>
                <c:pt idx="30">
                  <c:v>86.3</c:v>
                </c:pt>
                <c:pt idx="33">
                  <c:v>70.7</c:v>
                </c:pt>
                <c:pt idx="35">
                  <c:v>88.0</c:v>
                </c:pt>
                <c:pt idx="40">
                  <c:v>76.0</c:v>
                </c:pt>
                <c:pt idx="42">
                  <c:v>74.3</c:v>
                </c:pt>
                <c:pt idx="44">
                  <c:v>69.3</c:v>
                </c:pt>
                <c:pt idx="45">
                  <c:v>78.3</c:v>
                </c:pt>
                <c:pt idx="46">
                  <c:v>77.7</c:v>
                </c:pt>
                <c:pt idx="47">
                  <c:v>87.7</c:v>
                </c:pt>
                <c:pt idx="48">
                  <c:v>74.7</c:v>
                </c:pt>
                <c:pt idx="49">
                  <c:v>72.0</c:v>
                </c:pt>
                <c:pt idx="50">
                  <c:v>88.3</c:v>
                </c:pt>
                <c:pt idx="54">
                  <c:v>75.3</c:v>
                </c:pt>
                <c:pt idx="55">
                  <c:v>85.3</c:v>
                </c:pt>
                <c:pt idx="57">
                  <c:v>83.0</c:v>
                </c:pt>
                <c:pt idx="58">
                  <c:v>82.7</c:v>
                </c:pt>
                <c:pt idx="61">
                  <c:v>92.7</c:v>
                </c:pt>
                <c:pt idx="62">
                  <c:v>81.3</c:v>
                </c:pt>
              </c:strCache>
            </c:strRef>
          </c:xVal>
          <c:yVal>
            <c:numRef>
              <c:f>'Student Data'!$L$2:$L$66</c:f>
              <c:numCache>
                <c:formatCode>0.0\%</c:formatCode>
                <c:ptCount val="65"/>
                <c:pt idx="0">
                  <c:v>77.3</c:v>
                </c:pt>
                <c:pt idx="1">
                  <c:v>98.7</c:v>
                </c:pt>
                <c:pt idx="2" formatCode="General">
                  <c:v>0</c:v>
                </c:pt>
                <c:pt idx="3">
                  <c:v>78.400000000000006</c:v>
                </c:pt>
                <c:pt idx="4">
                  <c:v>90.6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>
                  <c:v>76.8</c:v>
                </c:pt>
                <c:pt idx="10">
                  <c:v>87.9</c:v>
                </c:pt>
                <c:pt idx="11" formatCode="General">
                  <c:v>0</c:v>
                </c:pt>
                <c:pt idx="12" formatCode="General">
                  <c:v>0</c:v>
                </c:pt>
                <c:pt idx="13">
                  <c:v>88.2</c:v>
                </c:pt>
                <c:pt idx="14">
                  <c:v>76.900000000000006</c:v>
                </c:pt>
                <c:pt idx="15" formatCode="General">
                  <c:v>0</c:v>
                </c:pt>
                <c:pt idx="16">
                  <c:v>96.7</c:v>
                </c:pt>
                <c:pt idx="17" formatCode="General">
                  <c:v>0</c:v>
                </c:pt>
                <c:pt idx="18" formatCode="General">
                  <c:v>0</c:v>
                </c:pt>
                <c:pt idx="19">
                  <c:v>86.6</c:v>
                </c:pt>
                <c:pt idx="20" formatCode="General">
                  <c:v>0</c:v>
                </c:pt>
                <c:pt idx="21">
                  <c:v>99.8</c:v>
                </c:pt>
                <c:pt idx="22">
                  <c:v>88.8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0</c:v>
                </c:pt>
                <c:pt idx="26">
                  <c:v>85.5</c:v>
                </c:pt>
                <c:pt idx="27" formatCode="General">
                  <c:v>0</c:v>
                </c:pt>
                <c:pt idx="28">
                  <c:v>96.5</c:v>
                </c:pt>
                <c:pt idx="29">
                  <c:v>78.099999999999994</c:v>
                </c:pt>
                <c:pt idx="30">
                  <c:v>99</c:v>
                </c:pt>
                <c:pt idx="31" formatCode="General">
                  <c:v>0</c:v>
                </c:pt>
                <c:pt idx="32" formatCode="General">
                  <c:v>0</c:v>
                </c:pt>
                <c:pt idx="33">
                  <c:v>76.2</c:v>
                </c:pt>
                <c:pt idx="34" formatCode="General">
                  <c:v>0</c:v>
                </c:pt>
                <c:pt idx="35">
                  <c:v>86.2</c:v>
                </c:pt>
                <c:pt idx="36" formatCode="General">
                  <c:v>0</c:v>
                </c:pt>
                <c:pt idx="37" formatCode="General">
                  <c:v>0</c:v>
                </c:pt>
                <c:pt idx="38" formatCode="General">
                  <c:v>0</c:v>
                </c:pt>
                <c:pt idx="39" formatCode="General">
                  <c:v>0</c:v>
                </c:pt>
                <c:pt idx="40">
                  <c:v>92.6</c:v>
                </c:pt>
                <c:pt idx="41" formatCode="General">
                  <c:v>0</c:v>
                </c:pt>
                <c:pt idx="42">
                  <c:v>84.3</c:v>
                </c:pt>
                <c:pt idx="43" formatCode="General">
                  <c:v>0</c:v>
                </c:pt>
                <c:pt idx="44">
                  <c:v>86.4</c:v>
                </c:pt>
                <c:pt idx="45">
                  <c:v>90.7</c:v>
                </c:pt>
                <c:pt idx="46">
                  <c:v>91.7</c:v>
                </c:pt>
                <c:pt idx="47">
                  <c:v>87.2</c:v>
                </c:pt>
                <c:pt idx="48">
                  <c:v>76.7</c:v>
                </c:pt>
                <c:pt idx="49">
                  <c:v>77.8</c:v>
                </c:pt>
                <c:pt idx="50">
                  <c:v>99.7</c:v>
                </c:pt>
                <c:pt idx="51" formatCode="General">
                  <c:v>0</c:v>
                </c:pt>
                <c:pt idx="52" formatCode="General">
                  <c:v>0</c:v>
                </c:pt>
                <c:pt idx="53" formatCode="General">
                  <c:v>0</c:v>
                </c:pt>
                <c:pt idx="54">
                  <c:v>87.1</c:v>
                </c:pt>
                <c:pt idx="55">
                  <c:v>85.1</c:v>
                </c:pt>
                <c:pt idx="56" formatCode="General">
                  <c:v>0</c:v>
                </c:pt>
                <c:pt idx="57">
                  <c:v>78.900000000000006</c:v>
                </c:pt>
                <c:pt idx="58">
                  <c:v>91.9</c:v>
                </c:pt>
                <c:pt idx="59" formatCode="General">
                  <c:v>0</c:v>
                </c:pt>
                <c:pt idx="60" formatCode="General">
                  <c:v>0</c:v>
                </c:pt>
                <c:pt idx="61">
                  <c:v>90.8</c:v>
                </c:pt>
                <c:pt idx="62">
                  <c:v>86.9</c:v>
                </c:pt>
                <c:pt idx="63" formatCode="General">
                  <c:v>0</c:v>
                </c:pt>
                <c:pt idx="64" formatCode="General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33-4EC6-B8C4-541081CF8665}"/>
            </c:ext>
          </c:extLst>
        </c:ser>
        <c:ser>
          <c:idx val="1"/>
          <c:order val="1"/>
          <c:tx>
            <c:strRef>
              <c:f>'Student Data'!$N$1</c:f>
              <c:strCache>
                <c:ptCount val="1"/>
                <c:pt idx="0">
                  <c:v>Attn(Y)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5"/>
            <c:spPr>
              <a:solidFill>
                <a:srgbClr val="BF8F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'Student Data'!$O$2:$O$66</c:f>
              <c:strCache>
                <c:ptCount val="64"/>
                <c:pt idx="2">
                  <c:v>69.7</c:v>
                </c:pt>
                <c:pt idx="5">
                  <c:v>76.0</c:v>
                </c:pt>
                <c:pt idx="6">
                  <c:v>38.3</c:v>
                </c:pt>
                <c:pt idx="8">
                  <c:v>81.7</c:v>
                </c:pt>
                <c:pt idx="11">
                  <c:v>51.0</c:v>
                </c:pt>
                <c:pt idx="12">
                  <c:v>77.7</c:v>
                </c:pt>
                <c:pt idx="15">
                  <c:v>52.7</c:v>
                </c:pt>
                <c:pt idx="17">
                  <c:v>78.3</c:v>
                </c:pt>
                <c:pt idx="18">
                  <c:v>73.0</c:v>
                </c:pt>
                <c:pt idx="20">
                  <c:v>44.0</c:v>
                </c:pt>
                <c:pt idx="23">
                  <c:v>80.3</c:v>
                </c:pt>
                <c:pt idx="25">
                  <c:v>50.3</c:v>
                </c:pt>
                <c:pt idx="31">
                  <c:v>51.7</c:v>
                </c:pt>
                <c:pt idx="32">
                  <c:v>45.7</c:v>
                </c:pt>
                <c:pt idx="34">
                  <c:v>45.7</c:v>
                </c:pt>
                <c:pt idx="37">
                  <c:v>43.3</c:v>
                </c:pt>
                <c:pt idx="38">
                  <c:v>90.0</c:v>
                </c:pt>
                <c:pt idx="51">
                  <c:v>70.7</c:v>
                </c:pt>
                <c:pt idx="52">
                  <c:v>46.7</c:v>
                </c:pt>
                <c:pt idx="53">
                  <c:v>88.0</c:v>
                </c:pt>
                <c:pt idx="56">
                  <c:v>47.0</c:v>
                </c:pt>
                <c:pt idx="60">
                  <c:v>42.0</c:v>
                </c:pt>
                <c:pt idx="63">
                  <c:v>77.7</c:v>
                </c:pt>
              </c:strCache>
            </c:strRef>
          </c:xVal>
          <c:yVal>
            <c:numRef>
              <c:f>'Student Data'!$N$2:$N$66</c:f>
              <c:numCache>
                <c:formatCode>General</c:formatCode>
                <c:ptCount val="65"/>
                <c:pt idx="0">
                  <c:v>0</c:v>
                </c:pt>
                <c:pt idx="1">
                  <c:v>0</c:v>
                </c:pt>
                <c:pt idx="2" formatCode="0.0\%">
                  <c:v>64</c:v>
                </c:pt>
                <c:pt idx="3">
                  <c:v>0</c:v>
                </c:pt>
                <c:pt idx="4">
                  <c:v>0</c:v>
                </c:pt>
                <c:pt idx="5" formatCode="0.0\%">
                  <c:v>58.2</c:v>
                </c:pt>
                <c:pt idx="6" formatCode="0.0\%">
                  <c:v>79.8</c:v>
                </c:pt>
                <c:pt idx="7">
                  <c:v>0</c:v>
                </c:pt>
                <c:pt idx="8" formatCode="0.0\%">
                  <c:v>45.2</c:v>
                </c:pt>
                <c:pt idx="9">
                  <c:v>0</c:v>
                </c:pt>
                <c:pt idx="10">
                  <c:v>0</c:v>
                </c:pt>
                <c:pt idx="11" formatCode="0.0\%">
                  <c:v>85.5</c:v>
                </c:pt>
                <c:pt idx="12" formatCode="0.0\%">
                  <c:v>71</c:v>
                </c:pt>
                <c:pt idx="13">
                  <c:v>0</c:v>
                </c:pt>
                <c:pt idx="14">
                  <c:v>0</c:v>
                </c:pt>
                <c:pt idx="15" formatCode="0.0\%">
                  <c:v>79</c:v>
                </c:pt>
                <c:pt idx="16">
                  <c:v>0</c:v>
                </c:pt>
                <c:pt idx="17" formatCode="0.0\%">
                  <c:v>63.3</c:v>
                </c:pt>
                <c:pt idx="18" formatCode="0.0\%">
                  <c:v>68.599999999999994</c:v>
                </c:pt>
                <c:pt idx="19">
                  <c:v>0</c:v>
                </c:pt>
                <c:pt idx="20" formatCode="0.0\%">
                  <c:v>95.3</c:v>
                </c:pt>
                <c:pt idx="21">
                  <c:v>0</c:v>
                </c:pt>
                <c:pt idx="22">
                  <c:v>0</c:v>
                </c:pt>
                <c:pt idx="23" formatCode="0.0\%">
                  <c:v>58.1</c:v>
                </c:pt>
                <c:pt idx="24">
                  <c:v>0</c:v>
                </c:pt>
                <c:pt idx="25" formatCode="0.0\%">
                  <c:v>95.7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 formatCode="0.0\%">
                  <c:v>99.9</c:v>
                </c:pt>
                <c:pt idx="32" formatCode="0.0\%">
                  <c:v>94.5</c:v>
                </c:pt>
                <c:pt idx="33">
                  <c:v>0</c:v>
                </c:pt>
                <c:pt idx="34" formatCode="0.0\%">
                  <c:v>92.6</c:v>
                </c:pt>
                <c:pt idx="35">
                  <c:v>0</c:v>
                </c:pt>
                <c:pt idx="36">
                  <c:v>0</c:v>
                </c:pt>
                <c:pt idx="37" formatCode="0.0\%">
                  <c:v>93.7</c:v>
                </c:pt>
                <c:pt idx="38" formatCode="0.0\%">
                  <c:v>70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 formatCode="0.0\%">
                  <c:v>42.7</c:v>
                </c:pt>
                <c:pt idx="52" formatCode="0.0\%">
                  <c:v>90.3</c:v>
                </c:pt>
                <c:pt idx="53" formatCode="0.0\%">
                  <c:v>54.4</c:v>
                </c:pt>
                <c:pt idx="54">
                  <c:v>0</c:v>
                </c:pt>
                <c:pt idx="55">
                  <c:v>0</c:v>
                </c:pt>
                <c:pt idx="56" formatCode="0.0\%">
                  <c:v>93.8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 formatCode="0.0\%">
                  <c:v>98.4</c:v>
                </c:pt>
                <c:pt idx="61">
                  <c:v>0</c:v>
                </c:pt>
                <c:pt idx="62">
                  <c:v>0</c:v>
                </c:pt>
                <c:pt idx="63" formatCode="0.0\%">
                  <c:v>41.2</c:v>
                </c:pt>
                <c:pt idx="6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333-4EC6-B8C4-541081CF8665}"/>
            </c:ext>
          </c:extLst>
        </c:ser>
        <c:ser>
          <c:idx val="2"/>
          <c:order val="2"/>
          <c:tx>
            <c:strRef>
              <c:f>'Student Data'!$P$1</c:f>
              <c:strCache>
                <c:ptCount val="1"/>
                <c:pt idx="0">
                  <c:v>Attn(R)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'Student Data'!$Q$2:$Q$66</c:f>
              <c:strCache>
                <c:ptCount val="65"/>
                <c:pt idx="7">
                  <c:v>46.0</c:v>
                </c:pt>
                <c:pt idx="24">
                  <c:v>38.0</c:v>
                </c:pt>
                <c:pt idx="27">
                  <c:v>47.3</c:v>
                </c:pt>
                <c:pt idx="36">
                  <c:v>42.0</c:v>
                </c:pt>
                <c:pt idx="39">
                  <c:v>53.3</c:v>
                </c:pt>
                <c:pt idx="41">
                  <c:v>45.7</c:v>
                </c:pt>
                <c:pt idx="43">
                  <c:v>42.7</c:v>
                </c:pt>
                <c:pt idx="59">
                  <c:v>55.3</c:v>
                </c:pt>
                <c:pt idx="64">
                  <c:v>42.3</c:v>
                </c:pt>
              </c:strCache>
            </c:strRef>
          </c:xVal>
          <c:yVal>
            <c:numRef>
              <c:f>'Student Data'!$P$2:$P$66</c:f>
              <c:numCache>
                <c:formatCode>General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\%">
                  <c:v>63.6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 formatCode="0.0\%">
                  <c:v>42.7</c:v>
                </c:pt>
                <c:pt idx="25">
                  <c:v>0</c:v>
                </c:pt>
                <c:pt idx="26">
                  <c:v>0</c:v>
                </c:pt>
                <c:pt idx="27" formatCode="0.0\%">
                  <c:v>69.3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 formatCode="0.0\%">
                  <c:v>51.9</c:v>
                </c:pt>
                <c:pt idx="37">
                  <c:v>0</c:v>
                </c:pt>
                <c:pt idx="38">
                  <c:v>0</c:v>
                </c:pt>
                <c:pt idx="39" formatCode="0.0\%">
                  <c:v>46.6</c:v>
                </c:pt>
                <c:pt idx="40">
                  <c:v>0</c:v>
                </c:pt>
                <c:pt idx="41" formatCode="0.0\%">
                  <c:v>57.8</c:v>
                </c:pt>
                <c:pt idx="42">
                  <c:v>0</c:v>
                </c:pt>
                <c:pt idx="43" formatCode="0.0\%">
                  <c:v>42.2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 formatCode="0.0\%">
                  <c:v>54.2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 formatCode="0.0\%">
                  <c:v>72.5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333-4EC6-B8C4-541081CF8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6653"/>
        <c:axId val="15103955"/>
      </c:scatterChart>
      <c:valAx>
        <c:axId val="2376653"/>
        <c:scaling>
          <c:orientation val="minMax"/>
          <c:max val="100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Class Average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103955"/>
        <c:crosses val="autoZero"/>
        <c:crossBetween val="midCat"/>
      </c:valAx>
      <c:valAx>
        <c:axId val="15103955"/>
        <c:scaling>
          <c:orientation val="minMax"/>
          <c:max val="100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Attendance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7665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274320</xdr:colOff>
      <xdr:row>9</xdr:row>
      <xdr:rowOff>76200</xdr:rowOff>
    </xdr:from>
    <xdr:to>
      <xdr:col>8</xdr:col>
      <xdr:colOff>511500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487680</xdr:colOff>
      <xdr:row>9</xdr:row>
      <xdr:rowOff>53340</xdr:rowOff>
    </xdr:from>
    <xdr:to>
      <xdr:col>14</xdr:col>
      <xdr:colOff>260400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167640</xdr:colOff>
      <xdr:row>20</xdr:row>
      <xdr:rowOff>32385</xdr:rowOff>
    </xdr:from>
    <xdr:to>
      <xdr:col>14</xdr:col>
      <xdr:colOff>22860</xdr:colOff>
      <xdr:row>33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523D96-A7FE-416B-ADEE-526D0E762169}" name="Table1" displayName="Table1" ref="A1:Q66" totalsRowShown="0">
  <autoFilter ref="A1:Q66" xr:uid="{B5523D96-A7FE-416B-ADEE-526D0E762169}"/>
  <tableColumns count="17">
    <tableColumn id="1" xr3:uid="{48468D0D-BE1E-4EFC-BFBA-368BBD8D63D2}" name="Student ID" dataDxfId="12"/>
    <tableColumn id="2" xr3:uid="{A696424E-3B9A-40DB-A25B-0EC523F5CF0A}" name="Name" dataDxfId="11"/>
    <tableColumn id="3" xr3:uid="{5480DC77-B347-49B6-B1C3-BA3A1043DB38}" name="Test 1" dataDxfId="10"/>
    <tableColumn id="4" xr3:uid="{7353B613-F700-4E24-9071-8073CBB43513}" name="Test 2" dataDxfId="9"/>
    <tableColumn id="5" xr3:uid="{51355C6F-E985-46CF-9D49-ABB754002538}" name="Test 3" dataDxfId="8"/>
    <tableColumn id="6" xr3:uid="{8EB870A8-59C6-44B0-8087-D856D5E8B65E}" name="Average" dataDxfId="7">
      <calculatedColumnFormula>ROUND(AVERAGE(C2:E2),1)</calculatedColumnFormula>
    </tableColumn>
    <tableColumn id="7" xr3:uid="{2ADC53F4-5BAB-4954-A821-AF07C992F46F}" name="Attendance %" dataDxfId="6"/>
    <tableColumn id="8" xr3:uid="{90E7FC74-0712-41BD-81F3-23656DC677D1}" name="Academic Status" dataDxfId="5">
      <calculatedColumnFormula>IF(F2&lt;60,"FAIL","PASS")</calculatedColumnFormula>
    </tableColumn>
    <tableColumn id="9" xr3:uid="{1789F7DA-3A16-449B-BA79-20E0416DB60C}" name="Attendance Status" dataDxfId="4">
      <calculatedColumnFormula>IF(G2&lt;75,"FAIL","PASS")</calculatedColumnFormula>
    </tableColumn>
    <tableColumn id="10" xr3:uid="{D56C135A-325F-4C3B-8D82-FB96266B46FA}" name="Risk Category" dataDxfId="3">
      <calculatedColumnFormula>IF(AND(H2="FAIL",I2="FAIL"),"RED - Dual Risk",IF(OR(H2="FAIL",I2="FAIL"),"YELLOW - Single Risk","GREEN - Satisfactory"))</calculatedColumnFormula>
    </tableColumn>
    <tableColumn id="11" xr3:uid="{6B992339-D340-4347-9D3D-F05E5D6B263B}" name="Column1"/>
    <tableColumn id="12" xr3:uid="{6BAE3CA0-20A7-407C-A716-3B140CCA9D53}" name="Attn(G)">
      <calculatedColumnFormula>IF(J2="GREEN - Satisfactory",G2,"")</calculatedColumnFormula>
    </tableColumn>
    <tableColumn id="13" xr3:uid="{41C6B8A4-BEEB-46C1-8B19-AF5CAB211130}" name="Avg(G)">
      <calculatedColumnFormula>IF(J2="GREEN - Satisfactory",F2,"")</calculatedColumnFormula>
    </tableColumn>
    <tableColumn id="14" xr3:uid="{E6100380-CA3E-447B-BB20-01A95C5F19C3}" name="Attn(Y)">
      <calculatedColumnFormula>IF(J2="YELLOW - Single Risk",G2,"")</calculatedColumnFormula>
    </tableColumn>
    <tableColumn id="15" xr3:uid="{4D4196D5-0A0B-491B-9AD8-A0DE111F4190}" name="Avg(Y)">
      <calculatedColumnFormula>IF(J2="YELLOW - Single Risk",F2,"")</calculatedColumnFormula>
    </tableColumn>
    <tableColumn id="16" xr3:uid="{4501FD89-E4DE-4C0D-BEB4-D2BD5BECC34C}" name="Attn(R)">
      <calculatedColumnFormula>IF(J2="RED - Dual Risk",G2,"")</calculatedColumnFormula>
    </tableColumn>
    <tableColumn id="17" xr3:uid="{DADDD29B-ADCD-4AAE-B758-875322995AC4}" name="Avg(R)">
      <calculatedColumnFormula>IF(J2="RED - Dual Risk",F2,"")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showGridLines="0" tabSelected="1" zoomScale="77" zoomScaleNormal="77" workbookViewId="0">
      <selection activeCell="A2" sqref="A2:L2"/>
    </sheetView>
  </sheetViews>
  <sheetFormatPr defaultColWidth="8.6640625" defaultRowHeight="14.4" x14ac:dyDescent="0.3"/>
  <cols>
    <col min="1" max="12" width="10.5546875" customWidth="1"/>
  </cols>
  <sheetData>
    <row r="1" spans="1:14" ht="30" customHeight="1" x14ac:dyDescent="0.3">
      <c r="A1" s="18" t="s">
        <v>116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N1" s="1" t="s">
        <v>0</v>
      </c>
    </row>
    <row r="2" spans="1:14" ht="5.4" customHeight="1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4" ht="30" customHeight="1" x14ac:dyDescent="0.3">
      <c r="A3" s="20" t="s">
        <v>114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N3" s="2">
        <f>COUNTA('Student Data'!A2:A66)</f>
        <v>65</v>
      </c>
    </row>
    <row r="4" spans="1:14" ht="7.8" customHeight="1" x14ac:dyDescent="0.3"/>
    <row r="5" spans="1:14" ht="19.5" customHeight="1" x14ac:dyDescent="0.3">
      <c r="A5" s="21" t="s">
        <v>1</v>
      </c>
      <c r="B5" s="21"/>
      <c r="C5" s="22" t="s">
        <v>2</v>
      </c>
      <c r="D5" s="22"/>
      <c r="E5" s="23" t="s">
        <v>3</v>
      </c>
      <c r="F5" s="23"/>
      <c r="G5" s="24" t="s">
        <v>4</v>
      </c>
      <c r="H5" s="24"/>
      <c r="I5" s="25" t="s">
        <v>5</v>
      </c>
      <c r="J5" s="25"/>
      <c r="N5" s="2">
        <f>COUNTIFS('Student Data'!H2:H66,"FAIL",'Student Data'!I2:I66,"PASS")</f>
        <v>12</v>
      </c>
    </row>
    <row r="6" spans="1:14" ht="27.75" customHeight="1" x14ac:dyDescent="0.3">
      <c r="A6" s="26">
        <f>N3</f>
        <v>65</v>
      </c>
      <c r="B6" s="26"/>
      <c r="C6" s="27">
        <f>N5</f>
        <v>12</v>
      </c>
      <c r="D6" s="27"/>
      <c r="E6" s="28">
        <f>N6</f>
        <v>11</v>
      </c>
      <c r="F6" s="28"/>
      <c r="G6" s="29">
        <f>N7</f>
        <v>9</v>
      </c>
      <c r="H6" s="29"/>
      <c r="I6" s="30">
        <f>N8</f>
        <v>33</v>
      </c>
      <c r="J6" s="30"/>
      <c r="N6" s="2">
        <f>COUNTIFS('Student Data'!H2:H66,"PASS",'Student Data'!I2:I66,"FAIL")</f>
        <v>11</v>
      </c>
    </row>
    <row r="7" spans="1:14" ht="27.75" customHeight="1" x14ac:dyDescent="0.3">
      <c r="A7" s="26"/>
      <c r="B7" s="26"/>
      <c r="C7" s="27"/>
      <c r="D7" s="27"/>
      <c r="E7" s="28"/>
      <c r="F7" s="28"/>
      <c r="G7" s="29"/>
      <c r="H7" s="29"/>
      <c r="I7" s="30"/>
      <c r="J7" s="30"/>
      <c r="N7" s="2">
        <f>COUNTIFS('Student Data'!H2:H66,"FAIL",'Student Data'!I2:I66,"FAIL")</f>
        <v>9</v>
      </c>
    </row>
    <row r="8" spans="1:14" ht="27.75" customHeight="1" x14ac:dyDescent="0.3">
      <c r="A8" s="26"/>
      <c r="B8" s="26"/>
      <c r="C8" s="27"/>
      <c r="D8" s="27"/>
      <c r="E8" s="28"/>
      <c r="F8" s="28"/>
      <c r="G8" s="29"/>
      <c r="H8" s="29"/>
      <c r="I8" s="30"/>
      <c r="J8" s="30"/>
      <c r="N8" s="2">
        <f>COUNTIFS('Student Data'!H2:H66,"PASS",'Student Data'!I2:I66,"PASS")</f>
        <v>33</v>
      </c>
    </row>
    <row r="9" spans="1:14" ht="15.75" customHeight="1" x14ac:dyDescent="0.3">
      <c r="A9" s="31" t="s">
        <v>6</v>
      </c>
      <c r="B9" s="31"/>
      <c r="C9" s="31" t="s">
        <v>6</v>
      </c>
      <c r="D9" s="31"/>
      <c r="E9" s="31" t="s">
        <v>6</v>
      </c>
      <c r="F9" s="31"/>
      <c r="G9" s="31" t="s">
        <v>6</v>
      </c>
      <c r="H9" s="31"/>
      <c r="I9" s="31" t="s">
        <v>6</v>
      </c>
      <c r="J9" s="31"/>
    </row>
    <row r="10" spans="1:14" ht="9.6" customHeight="1" x14ac:dyDescent="0.3"/>
    <row r="12" spans="1:14" x14ac:dyDescent="0.3">
      <c r="A12" s="17" t="s">
        <v>7</v>
      </c>
    </row>
    <row r="13" spans="1:14" x14ac:dyDescent="0.3">
      <c r="A13" s="3" t="s">
        <v>8</v>
      </c>
      <c r="B13" s="3" t="s">
        <v>9</v>
      </c>
    </row>
    <row r="14" spans="1:14" x14ac:dyDescent="0.3">
      <c r="A14" s="4" t="s">
        <v>10</v>
      </c>
      <c r="B14">
        <f>N5</f>
        <v>12</v>
      </c>
    </row>
    <row r="15" spans="1:14" x14ac:dyDescent="0.3">
      <c r="A15" s="5" t="s">
        <v>11</v>
      </c>
      <c r="B15">
        <f>N6</f>
        <v>11</v>
      </c>
    </row>
    <row r="16" spans="1:14" x14ac:dyDescent="0.3">
      <c r="A16" s="6" t="s">
        <v>12</v>
      </c>
      <c r="B16">
        <f>N7</f>
        <v>9</v>
      </c>
    </row>
    <row r="17" spans="1:2" x14ac:dyDescent="0.3">
      <c r="A17" s="7" t="s">
        <v>5</v>
      </c>
      <c r="B17">
        <f>N8</f>
        <v>33</v>
      </c>
    </row>
    <row r="22" spans="1:2" x14ac:dyDescent="0.3">
      <c r="A22" s="8" t="s">
        <v>13</v>
      </c>
    </row>
    <row r="23" spans="1:2" x14ac:dyDescent="0.3">
      <c r="A23" s="3" t="s">
        <v>14</v>
      </c>
      <c r="B23" s="3" t="s">
        <v>15</v>
      </c>
    </row>
    <row r="24" spans="1:2" x14ac:dyDescent="0.3">
      <c r="A24" t="s">
        <v>16</v>
      </c>
      <c r="B24">
        <f>N7</f>
        <v>9</v>
      </c>
    </row>
    <row r="25" spans="1:2" x14ac:dyDescent="0.3">
      <c r="A25" t="s">
        <v>17</v>
      </c>
      <c r="B25">
        <v>6</v>
      </c>
    </row>
    <row r="26" spans="1:2" x14ac:dyDescent="0.3">
      <c r="A26" t="s">
        <v>18</v>
      </c>
      <c r="B26">
        <v>6</v>
      </c>
    </row>
    <row r="27" spans="1:2" x14ac:dyDescent="0.3">
      <c r="A27" t="s">
        <v>19</v>
      </c>
      <c r="B27">
        <v>3</v>
      </c>
    </row>
    <row r="28" spans="1:2" x14ac:dyDescent="0.3">
      <c r="A28" t="s">
        <v>20</v>
      </c>
      <c r="B28">
        <v>4</v>
      </c>
    </row>
    <row r="29" spans="1:2" x14ac:dyDescent="0.3">
      <c r="A29" t="s">
        <v>21</v>
      </c>
      <c r="B29">
        <v>6</v>
      </c>
    </row>
  </sheetData>
  <mergeCells count="18">
    <mergeCell ref="A9:B9"/>
    <mergeCell ref="C9:D9"/>
    <mergeCell ref="E9:F9"/>
    <mergeCell ref="G9:H9"/>
    <mergeCell ref="I9:J9"/>
    <mergeCell ref="A6:B8"/>
    <mergeCell ref="C6:D8"/>
    <mergeCell ref="E6:F8"/>
    <mergeCell ref="G6:H8"/>
    <mergeCell ref="I6:J8"/>
    <mergeCell ref="A1:L1"/>
    <mergeCell ref="A2:L2"/>
    <mergeCell ref="A3:L3"/>
    <mergeCell ref="A5:B5"/>
    <mergeCell ref="C5:D5"/>
    <mergeCell ref="E5:F5"/>
    <mergeCell ref="G5:H5"/>
    <mergeCell ref="I5:J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6"/>
  <sheetViews>
    <sheetView zoomScaleNormal="100" workbookViewId="0">
      <pane ySplit="1" topLeftCell="A41" activePane="bottomLeft" state="frozen"/>
      <selection pane="bottomLeft" sqref="A1:J66"/>
    </sheetView>
  </sheetViews>
  <sheetFormatPr defaultColWidth="8.6640625" defaultRowHeight="14.4" x14ac:dyDescent="0.3"/>
  <cols>
    <col min="1" max="1" width="15.5546875" bestFit="1" customWidth="1"/>
    <col min="2" max="2" width="20" customWidth="1"/>
    <col min="3" max="5" width="11.5546875" customWidth="1"/>
    <col min="6" max="6" width="13.6640625" bestFit="1" customWidth="1"/>
    <col min="7" max="7" width="19.109375" bestFit="1" customWidth="1"/>
    <col min="8" max="8" width="22" bestFit="1" customWidth="1"/>
    <col min="9" max="9" width="23.44140625" bestFit="1" customWidth="1"/>
    <col min="10" max="10" width="20" customWidth="1"/>
    <col min="11" max="17" width="11.44140625" customWidth="1"/>
  </cols>
  <sheetData>
    <row r="1" spans="1:21" x14ac:dyDescent="0.3">
      <c r="A1" s="9" t="s">
        <v>22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27</v>
      </c>
      <c r="G1" s="9" t="s">
        <v>28</v>
      </c>
      <c r="H1" s="9" t="s">
        <v>29</v>
      </c>
      <c r="I1" s="9" t="s">
        <v>30</v>
      </c>
      <c r="J1" s="9" t="s">
        <v>31</v>
      </c>
      <c r="K1" t="s">
        <v>115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</row>
    <row r="2" spans="1:21" x14ac:dyDescent="0.3">
      <c r="A2" s="10">
        <v>1001</v>
      </c>
      <c r="B2" s="10" t="s">
        <v>42</v>
      </c>
      <c r="C2" s="10">
        <v>67</v>
      </c>
      <c r="D2" s="10">
        <v>71</v>
      </c>
      <c r="E2" s="10">
        <v>91</v>
      </c>
      <c r="F2" s="11">
        <f t="shared" ref="F2:F33" si="0">ROUND(AVERAGE(C2:E2),1)</f>
        <v>76.3</v>
      </c>
      <c r="G2" s="12">
        <v>77.3</v>
      </c>
      <c r="H2" s="10" t="str">
        <f t="shared" ref="H2:H33" si="1">IF(F2&lt;60,"FAIL","PASS")</f>
        <v>PASS</v>
      </c>
      <c r="I2" s="10" t="str">
        <f t="shared" ref="I2:I33" si="2">IF(G2&lt;75,"FAIL","PASS")</f>
        <v>PASS</v>
      </c>
      <c r="J2" s="10" t="str">
        <f t="shared" ref="J2:J33" si="3">IF(AND(H2="FAIL",I2="FAIL"),"RED - Dual Risk",IF(OR(H2="FAIL",I2="FAIL"),"YELLOW - Single Risk","GREEN - Satisfactory"))</f>
        <v>GREEN - Satisfactory</v>
      </c>
      <c r="L2" s="13">
        <f t="shared" ref="L2:L33" si="4">IF(J2="GREEN - Satisfactory",G2,"")</f>
        <v>77.3</v>
      </c>
      <c r="M2" s="14">
        <f t="shared" ref="M2:M33" si="5">IF(J2="GREEN - Satisfactory",F2,"")</f>
        <v>76.3</v>
      </c>
      <c r="N2" t="str">
        <f t="shared" ref="N2:N33" si="6">IF(J2="YELLOW - Single Risk",G2,"")</f>
        <v/>
      </c>
      <c r="O2" t="str">
        <f t="shared" ref="O2:O33" si="7">IF(J2="YELLOW - Single Risk",F2,"")</f>
        <v/>
      </c>
      <c r="P2" t="str">
        <f t="shared" ref="P2:P33" si="8">IF(J2="RED - Dual Risk",G2,"")</f>
        <v/>
      </c>
      <c r="Q2" t="str">
        <f t="shared" ref="Q2:Q33" si="9">IF(J2="RED - Dual Risk",F2,"")</f>
        <v/>
      </c>
      <c r="R2">
        <v>0</v>
      </c>
      <c r="S2">
        <v>60</v>
      </c>
      <c r="T2">
        <v>75</v>
      </c>
      <c r="U2">
        <v>0</v>
      </c>
    </row>
    <row r="3" spans="1:21" x14ac:dyDescent="0.3">
      <c r="A3" s="10">
        <v>1002</v>
      </c>
      <c r="B3" s="10" t="s">
        <v>43</v>
      </c>
      <c r="C3" s="10">
        <v>84</v>
      </c>
      <c r="D3" s="10">
        <v>62</v>
      </c>
      <c r="E3" s="10">
        <v>80</v>
      </c>
      <c r="F3" s="11">
        <f t="shared" si="0"/>
        <v>75.3</v>
      </c>
      <c r="G3" s="12">
        <v>98.7</v>
      </c>
      <c r="H3" s="10" t="str">
        <f t="shared" si="1"/>
        <v>PASS</v>
      </c>
      <c r="I3" s="10" t="str">
        <f t="shared" si="2"/>
        <v>PASS</v>
      </c>
      <c r="J3" s="10" t="str">
        <f t="shared" si="3"/>
        <v>GREEN - Satisfactory</v>
      </c>
      <c r="L3" s="13">
        <f t="shared" si="4"/>
        <v>98.7</v>
      </c>
      <c r="M3" s="14">
        <f t="shared" si="5"/>
        <v>75.3</v>
      </c>
      <c r="N3" t="str">
        <f t="shared" si="6"/>
        <v/>
      </c>
      <c r="O3" t="str">
        <f t="shared" si="7"/>
        <v/>
      </c>
      <c r="P3" t="str">
        <f t="shared" si="8"/>
        <v/>
      </c>
      <c r="Q3" t="str">
        <f t="shared" si="9"/>
        <v/>
      </c>
      <c r="R3">
        <v>100</v>
      </c>
      <c r="S3">
        <v>60</v>
      </c>
      <c r="T3">
        <v>75</v>
      </c>
      <c r="U3">
        <v>100</v>
      </c>
    </row>
    <row r="4" spans="1:21" x14ac:dyDescent="0.3">
      <c r="A4" s="10">
        <v>1003</v>
      </c>
      <c r="B4" s="10" t="s">
        <v>44</v>
      </c>
      <c r="C4" s="10">
        <v>75</v>
      </c>
      <c r="D4" s="10">
        <v>70</v>
      </c>
      <c r="E4" s="10">
        <v>64</v>
      </c>
      <c r="F4" s="11">
        <f t="shared" si="0"/>
        <v>69.7</v>
      </c>
      <c r="G4" s="12">
        <v>64</v>
      </c>
      <c r="H4" s="10" t="str">
        <f t="shared" si="1"/>
        <v>PASS</v>
      </c>
      <c r="I4" s="10" t="str">
        <f t="shared" si="2"/>
        <v>FAIL</v>
      </c>
      <c r="J4" s="10" t="str">
        <f t="shared" si="3"/>
        <v>YELLOW - Single Risk</v>
      </c>
      <c r="L4" t="str">
        <f t="shared" si="4"/>
        <v/>
      </c>
      <c r="M4" t="str">
        <f t="shared" si="5"/>
        <v/>
      </c>
      <c r="N4" s="13">
        <f t="shared" si="6"/>
        <v>64</v>
      </c>
      <c r="O4" s="14">
        <f t="shared" si="7"/>
        <v>69.7</v>
      </c>
      <c r="P4" t="str">
        <f t="shared" si="8"/>
        <v/>
      </c>
      <c r="Q4" t="str">
        <f t="shared" si="9"/>
        <v/>
      </c>
    </row>
    <row r="5" spans="1:21" x14ac:dyDescent="0.3">
      <c r="A5" s="10">
        <v>1004</v>
      </c>
      <c r="B5" s="10" t="s">
        <v>45</v>
      </c>
      <c r="C5" s="10">
        <v>60</v>
      </c>
      <c r="D5" s="10">
        <v>66</v>
      </c>
      <c r="E5" s="10">
        <v>80</v>
      </c>
      <c r="F5" s="11">
        <f t="shared" si="0"/>
        <v>68.7</v>
      </c>
      <c r="G5" s="12">
        <v>78.400000000000006</v>
      </c>
      <c r="H5" s="10" t="str">
        <f t="shared" si="1"/>
        <v>PASS</v>
      </c>
      <c r="I5" s="10" t="str">
        <f t="shared" si="2"/>
        <v>PASS</v>
      </c>
      <c r="J5" s="10" t="str">
        <f t="shared" si="3"/>
        <v>GREEN - Satisfactory</v>
      </c>
      <c r="L5" s="13">
        <f t="shared" si="4"/>
        <v>78.400000000000006</v>
      </c>
      <c r="M5" s="14">
        <f t="shared" si="5"/>
        <v>68.7</v>
      </c>
      <c r="N5" t="str">
        <f t="shared" si="6"/>
        <v/>
      </c>
      <c r="O5" t="str">
        <f t="shared" si="7"/>
        <v/>
      </c>
      <c r="P5" t="str">
        <f t="shared" si="8"/>
        <v/>
      </c>
      <c r="Q5" t="str">
        <f t="shared" si="9"/>
        <v/>
      </c>
    </row>
    <row r="6" spans="1:21" x14ac:dyDescent="0.3">
      <c r="A6" s="10">
        <v>1005</v>
      </c>
      <c r="B6" s="10" t="s">
        <v>46</v>
      </c>
      <c r="C6" s="10">
        <v>76</v>
      </c>
      <c r="D6" s="10">
        <v>72</v>
      </c>
      <c r="E6" s="10">
        <v>61</v>
      </c>
      <c r="F6" s="11">
        <f t="shared" si="0"/>
        <v>69.7</v>
      </c>
      <c r="G6" s="12">
        <v>90.6</v>
      </c>
      <c r="H6" s="10" t="str">
        <f t="shared" si="1"/>
        <v>PASS</v>
      </c>
      <c r="I6" s="10" t="str">
        <f t="shared" si="2"/>
        <v>PASS</v>
      </c>
      <c r="J6" s="10" t="str">
        <f t="shared" si="3"/>
        <v>GREEN - Satisfactory</v>
      </c>
      <c r="L6" s="13">
        <f t="shared" si="4"/>
        <v>90.6</v>
      </c>
      <c r="M6" s="14">
        <f t="shared" si="5"/>
        <v>69.7</v>
      </c>
      <c r="N6" t="str">
        <f t="shared" si="6"/>
        <v/>
      </c>
      <c r="O6" t="str">
        <f t="shared" si="7"/>
        <v/>
      </c>
      <c r="P6" t="str">
        <f t="shared" si="8"/>
        <v/>
      </c>
      <c r="Q6" t="str">
        <f t="shared" si="9"/>
        <v/>
      </c>
    </row>
    <row r="7" spans="1:21" x14ac:dyDescent="0.3">
      <c r="A7" s="10">
        <v>1006</v>
      </c>
      <c r="B7" s="10" t="s">
        <v>47</v>
      </c>
      <c r="C7" s="10">
        <v>92</v>
      </c>
      <c r="D7" s="10">
        <v>60</v>
      </c>
      <c r="E7" s="10">
        <v>76</v>
      </c>
      <c r="F7" s="11">
        <f t="shared" si="0"/>
        <v>76</v>
      </c>
      <c r="G7" s="12">
        <v>58.2</v>
      </c>
      <c r="H7" s="10" t="str">
        <f t="shared" si="1"/>
        <v>PASS</v>
      </c>
      <c r="I7" s="10" t="str">
        <f t="shared" si="2"/>
        <v>FAIL</v>
      </c>
      <c r="J7" s="10" t="str">
        <f t="shared" si="3"/>
        <v>YELLOW - Single Risk</v>
      </c>
      <c r="L7" t="str">
        <f t="shared" si="4"/>
        <v/>
      </c>
      <c r="M7" t="str">
        <f t="shared" si="5"/>
        <v/>
      </c>
      <c r="N7" s="13">
        <f t="shared" si="6"/>
        <v>58.2</v>
      </c>
      <c r="O7" s="14">
        <f t="shared" si="7"/>
        <v>76</v>
      </c>
      <c r="P7" t="str">
        <f t="shared" si="8"/>
        <v/>
      </c>
      <c r="Q7" t="str">
        <f t="shared" si="9"/>
        <v/>
      </c>
    </row>
    <row r="8" spans="1:21" x14ac:dyDescent="0.3">
      <c r="A8" s="10">
        <v>1007</v>
      </c>
      <c r="B8" s="10" t="s">
        <v>48</v>
      </c>
      <c r="C8" s="10">
        <v>35</v>
      </c>
      <c r="D8" s="10">
        <v>37</v>
      </c>
      <c r="E8" s="10">
        <v>43</v>
      </c>
      <c r="F8" s="11">
        <f t="shared" si="0"/>
        <v>38.299999999999997</v>
      </c>
      <c r="G8" s="12">
        <v>79.8</v>
      </c>
      <c r="H8" s="10" t="str">
        <f t="shared" si="1"/>
        <v>FAIL</v>
      </c>
      <c r="I8" s="10" t="str">
        <f t="shared" si="2"/>
        <v>PASS</v>
      </c>
      <c r="J8" s="10" t="str">
        <f t="shared" si="3"/>
        <v>YELLOW - Single Risk</v>
      </c>
      <c r="L8" t="str">
        <f t="shared" si="4"/>
        <v/>
      </c>
      <c r="M8" t="str">
        <f t="shared" si="5"/>
        <v/>
      </c>
      <c r="N8" s="13">
        <f t="shared" si="6"/>
        <v>79.8</v>
      </c>
      <c r="O8" s="14">
        <f t="shared" si="7"/>
        <v>38.299999999999997</v>
      </c>
      <c r="P8" t="str">
        <f t="shared" si="8"/>
        <v/>
      </c>
      <c r="Q8" t="str">
        <f t="shared" si="9"/>
        <v/>
      </c>
    </row>
    <row r="9" spans="1:21" x14ac:dyDescent="0.3">
      <c r="A9" s="10">
        <v>1008</v>
      </c>
      <c r="B9" s="10" t="s">
        <v>49</v>
      </c>
      <c r="C9" s="10">
        <v>50</v>
      </c>
      <c r="D9" s="10">
        <v>55</v>
      </c>
      <c r="E9" s="10">
        <v>33</v>
      </c>
      <c r="F9" s="11">
        <f t="shared" si="0"/>
        <v>46</v>
      </c>
      <c r="G9" s="12">
        <v>63.6</v>
      </c>
      <c r="H9" s="10" t="str">
        <f t="shared" si="1"/>
        <v>FAIL</v>
      </c>
      <c r="I9" s="10" t="str">
        <f t="shared" si="2"/>
        <v>FAIL</v>
      </c>
      <c r="J9" s="10" t="str">
        <f t="shared" si="3"/>
        <v>RED - Dual Risk</v>
      </c>
      <c r="L9" t="str">
        <f t="shared" si="4"/>
        <v/>
      </c>
      <c r="M9" t="str">
        <f t="shared" si="5"/>
        <v/>
      </c>
      <c r="N9" t="str">
        <f t="shared" si="6"/>
        <v/>
      </c>
      <c r="O9" t="str">
        <f t="shared" si="7"/>
        <v/>
      </c>
      <c r="P9" s="13">
        <f t="shared" si="8"/>
        <v>63.6</v>
      </c>
      <c r="Q9" s="14">
        <f t="shared" si="9"/>
        <v>46</v>
      </c>
    </row>
    <row r="10" spans="1:21" x14ac:dyDescent="0.3">
      <c r="A10" s="10">
        <v>1009</v>
      </c>
      <c r="B10" s="10" t="s">
        <v>50</v>
      </c>
      <c r="C10" s="10">
        <v>62</v>
      </c>
      <c r="D10" s="10">
        <v>91</v>
      </c>
      <c r="E10" s="10">
        <v>92</v>
      </c>
      <c r="F10" s="11">
        <f t="shared" si="0"/>
        <v>81.7</v>
      </c>
      <c r="G10" s="12">
        <v>45.2</v>
      </c>
      <c r="H10" s="10" t="str">
        <f t="shared" si="1"/>
        <v>PASS</v>
      </c>
      <c r="I10" s="10" t="str">
        <f t="shared" si="2"/>
        <v>FAIL</v>
      </c>
      <c r="J10" s="10" t="str">
        <f t="shared" si="3"/>
        <v>YELLOW - Single Risk</v>
      </c>
      <c r="L10" t="str">
        <f t="shared" si="4"/>
        <v/>
      </c>
      <c r="M10" t="str">
        <f t="shared" si="5"/>
        <v/>
      </c>
      <c r="N10" s="13">
        <f t="shared" si="6"/>
        <v>45.2</v>
      </c>
      <c r="O10" s="14">
        <f t="shared" si="7"/>
        <v>81.7</v>
      </c>
      <c r="P10" t="str">
        <f t="shared" si="8"/>
        <v/>
      </c>
      <c r="Q10" t="str">
        <f t="shared" si="9"/>
        <v/>
      </c>
    </row>
    <row r="11" spans="1:21" x14ac:dyDescent="0.3">
      <c r="A11" s="10">
        <v>1010</v>
      </c>
      <c r="B11" s="10" t="s">
        <v>51</v>
      </c>
      <c r="C11" s="10">
        <v>71</v>
      </c>
      <c r="D11" s="10">
        <v>96</v>
      </c>
      <c r="E11" s="10">
        <v>64</v>
      </c>
      <c r="F11" s="11">
        <f t="shared" si="0"/>
        <v>77</v>
      </c>
      <c r="G11" s="12">
        <v>76.8</v>
      </c>
      <c r="H11" s="10" t="str">
        <f t="shared" si="1"/>
        <v>PASS</v>
      </c>
      <c r="I11" s="10" t="str">
        <f t="shared" si="2"/>
        <v>PASS</v>
      </c>
      <c r="J11" s="10" t="str">
        <f t="shared" si="3"/>
        <v>GREEN - Satisfactory</v>
      </c>
      <c r="L11" s="13">
        <f t="shared" si="4"/>
        <v>76.8</v>
      </c>
      <c r="M11" s="14">
        <f t="shared" si="5"/>
        <v>77</v>
      </c>
      <c r="N11" t="str">
        <f t="shared" si="6"/>
        <v/>
      </c>
      <c r="O11" t="str">
        <f t="shared" si="7"/>
        <v/>
      </c>
      <c r="P11" t="str">
        <f t="shared" si="8"/>
        <v/>
      </c>
      <c r="Q11" t="str">
        <f t="shared" si="9"/>
        <v/>
      </c>
    </row>
    <row r="12" spans="1:21" x14ac:dyDescent="0.3">
      <c r="A12" s="10">
        <v>1011</v>
      </c>
      <c r="B12" s="10" t="s">
        <v>52</v>
      </c>
      <c r="C12" s="10">
        <v>86</v>
      </c>
      <c r="D12" s="10">
        <v>69</v>
      </c>
      <c r="E12" s="10">
        <v>73</v>
      </c>
      <c r="F12" s="11">
        <f t="shared" si="0"/>
        <v>76</v>
      </c>
      <c r="G12" s="12">
        <v>87.9</v>
      </c>
      <c r="H12" s="10" t="str">
        <f t="shared" si="1"/>
        <v>PASS</v>
      </c>
      <c r="I12" s="10" t="str">
        <f t="shared" si="2"/>
        <v>PASS</v>
      </c>
      <c r="J12" s="10" t="str">
        <f t="shared" si="3"/>
        <v>GREEN - Satisfactory</v>
      </c>
      <c r="L12" s="13">
        <f t="shared" si="4"/>
        <v>87.9</v>
      </c>
      <c r="M12" s="14">
        <f t="shared" si="5"/>
        <v>76</v>
      </c>
      <c r="N12" t="str">
        <f t="shared" si="6"/>
        <v/>
      </c>
      <c r="O12" t="str">
        <f t="shared" si="7"/>
        <v/>
      </c>
      <c r="P12" t="str">
        <f t="shared" si="8"/>
        <v/>
      </c>
      <c r="Q12" t="str">
        <f t="shared" si="9"/>
        <v/>
      </c>
    </row>
    <row r="13" spans="1:21" x14ac:dyDescent="0.3">
      <c r="A13" s="10">
        <v>1012</v>
      </c>
      <c r="B13" s="10" t="s">
        <v>53</v>
      </c>
      <c r="C13" s="10">
        <v>56</v>
      </c>
      <c r="D13" s="10">
        <v>46</v>
      </c>
      <c r="E13" s="10">
        <v>51</v>
      </c>
      <c r="F13" s="11">
        <f t="shared" si="0"/>
        <v>51</v>
      </c>
      <c r="G13" s="12">
        <v>85.5</v>
      </c>
      <c r="H13" s="10" t="str">
        <f t="shared" si="1"/>
        <v>FAIL</v>
      </c>
      <c r="I13" s="10" t="str">
        <f t="shared" si="2"/>
        <v>PASS</v>
      </c>
      <c r="J13" s="10" t="str">
        <f t="shared" si="3"/>
        <v>YELLOW - Single Risk</v>
      </c>
      <c r="L13" t="str">
        <f t="shared" si="4"/>
        <v/>
      </c>
      <c r="M13" t="str">
        <f t="shared" si="5"/>
        <v/>
      </c>
      <c r="N13" s="13">
        <f t="shared" si="6"/>
        <v>85.5</v>
      </c>
      <c r="O13" s="14">
        <f t="shared" si="7"/>
        <v>51</v>
      </c>
      <c r="P13" t="str">
        <f t="shared" si="8"/>
        <v/>
      </c>
      <c r="Q13" t="str">
        <f t="shared" si="9"/>
        <v/>
      </c>
    </row>
    <row r="14" spans="1:21" x14ac:dyDescent="0.3">
      <c r="A14" s="10">
        <v>1013</v>
      </c>
      <c r="B14" s="10" t="s">
        <v>54</v>
      </c>
      <c r="C14" s="10">
        <v>81</v>
      </c>
      <c r="D14" s="10">
        <v>62</v>
      </c>
      <c r="E14" s="10">
        <v>90</v>
      </c>
      <c r="F14" s="11">
        <f t="shared" si="0"/>
        <v>77.7</v>
      </c>
      <c r="G14" s="12">
        <v>71</v>
      </c>
      <c r="H14" s="10" t="str">
        <f t="shared" si="1"/>
        <v>PASS</v>
      </c>
      <c r="I14" s="10" t="str">
        <f t="shared" si="2"/>
        <v>FAIL</v>
      </c>
      <c r="J14" s="10" t="str">
        <f t="shared" si="3"/>
        <v>YELLOW - Single Risk</v>
      </c>
      <c r="L14" t="str">
        <f t="shared" si="4"/>
        <v/>
      </c>
      <c r="M14" t="str">
        <f t="shared" si="5"/>
        <v/>
      </c>
      <c r="N14" s="13">
        <f t="shared" si="6"/>
        <v>71</v>
      </c>
      <c r="O14" s="14">
        <f t="shared" si="7"/>
        <v>77.7</v>
      </c>
      <c r="P14" t="str">
        <f t="shared" si="8"/>
        <v/>
      </c>
      <c r="Q14" t="str">
        <f t="shared" si="9"/>
        <v/>
      </c>
    </row>
    <row r="15" spans="1:21" x14ac:dyDescent="0.3">
      <c r="A15" s="10">
        <v>1014</v>
      </c>
      <c r="B15" s="10" t="s">
        <v>55</v>
      </c>
      <c r="C15" s="10">
        <v>89</v>
      </c>
      <c r="D15" s="10">
        <v>86</v>
      </c>
      <c r="E15" s="10">
        <v>61</v>
      </c>
      <c r="F15" s="11">
        <f t="shared" si="0"/>
        <v>78.7</v>
      </c>
      <c r="G15" s="12">
        <v>88.2</v>
      </c>
      <c r="H15" s="10" t="str">
        <f t="shared" si="1"/>
        <v>PASS</v>
      </c>
      <c r="I15" s="10" t="str">
        <f t="shared" si="2"/>
        <v>PASS</v>
      </c>
      <c r="J15" s="10" t="str">
        <f t="shared" si="3"/>
        <v>GREEN - Satisfactory</v>
      </c>
      <c r="L15" s="13">
        <f t="shared" si="4"/>
        <v>88.2</v>
      </c>
      <c r="M15" s="14">
        <f t="shared" si="5"/>
        <v>78.7</v>
      </c>
      <c r="N15" t="str">
        <f t="shared" si="6"/>
        <v/>
      </c>
      <c r="O15" t="str">
        <f t="shared" si="7"/>
        <v/>
      </c>
      <c r="P15" t="str">
        <f t="shared" si="8"/>
        <v/>
      </c>
      <c r="Q15" t="str">
        <f t="shared" si="9"/>
        <v/>
      </c>
    </row>
    <row r="16" spans="1:21" x14ac:dyDescent="0.3">
      <c r="A16" s="10">
        <v>1015</v>
      </c>
      <c r="B16" s="10" t="s">
        <v>56</v>
      </c>
      <c r="C16" s="10">
        <v>78</v>
      </c>
      <c r="D16" s="10">
        <v>85</v>
      </c>
      <c r="E16" s="10">
        <v>87</v>
      </c>
      <c r="F16" s="11">
        <f t="shared" si="0"/>
        <v>83.3</v>
      </c>
      <c r="G16" s="12">
        <v>76.900000000000006</v>
      </c>
      <c r="H16" s="10" t="str">
        <f t="shared" si="1"/>
        <v>PASS</v>
      </c>
      <c r="I16" s="10" t="str">
        <f t="shared" si="2"/>
        <v>PASS</v>
      </c>
      <c r="J16" s="10" t="str">
        <f t="shared" si="3"/>
        <v>GREEN - Satisfactory</v>
      </c>
      <c r="L16" s="13">
        <f t="shared" si="4"/>
        <v>76.900000000000006</v>
      </c>
      <c r="M16" s="14">
        <f t="shared" si="5"/>
        <v>83.3</v>
      </c>
      <c r="N16" t="str">
        <f t="shared" si="6"/>
        <v/>
      </c>
      <c r="O16" t="str">
        <f t="shared" si="7"/>
        <v/>
      </c>
      <c r="P16" t="str">
        <f t="shared" si="8"/>
        <v/>
      </c>
      <c r="Q16" t="str">
        <f t="shared" si="9"/>
        <v/>
      </c>
    </row>
    <row r="17" spans="1:17" x14ac:dyDescent="0.3">
      <c r="A17" s="10">
        <v>1016</v>
      </c>
      <c r="B17" s="10" t="s">
        <v>57</v>
      </c>
      <c r="C17" s="10">
        <v>49</v>
      </c>
      <c r="D17" s="10">
        <v>51</v>
      </c>
      <c r="E17" s="10">
        <v>58</v>
      </c>
      <c r="F17" s="11">
        <f t="shared" si="0"/>
        <v>52.7</v>
      </c>
      <c r="G17" s="12">
        <v>79</v>
      </c>
      <c r="H17" s="10" t="str">
        <f t="shared" si="1"/>
        <v>FAIL</v>
      </c>
      <c r="I17" s="10" t="str">
        <f t="shared" si="2"/>
        <v>PASS</v>
      </c>
      <c r="J17" s="10" t="str">
        <f t="shared" si="3"/>
        <v>YELLOW - Single Risk</v>
      </c>
      <c r="L17" t="str">
        <f t="shared" si="4"/>
        <v/>
      </c>
      <c r="M17" t="str">
        <f t="shared" si="5"/>
        <v/>
      </c>
      <c r="N17" s="13">
        <f t="shared" si="6"/>
        <v>79</v>
      </c>
      <c r="O17" s="14">
        <f t="shared" si="7"/>
        <v>52.7</v>
      </c>
      <c r="P17" t="str">
        <f t="shared" si="8"/>
        <v/>
      </c>
      <c r="Q17" t="str">
        <f t="shared" si="9"/>
        <v/>
      </c>
    </row>
    <row r="18" spans="1:17" x14ac:dyDescent="0.3">
      <c r="A18" s="10">
        <v>1017</v>
      </c>
      <c r="B18" s="10" t="s">
        <v>58</v>
      </c>
      <c r="C18" s="10">
        <v>80</v>
      </c>
      <c r="D18" s="10">
        <v>94</v>
      </c>
      <c r="E18" s="10">
        <v>95</v>
      </c>
      <c r="F18" s="11">
        <f t="shared" si="0"/>
        <v>89.7</v>
      </c>
      <c r="G18" s="12">
        <v>96.7</v>
      </c>
      <c r="H18" s="10" t="str">
        <f t="shared" si="1"/>
        <v>PASS</v>
      </c>
      <c r="I18" s="10" t="str">
        <f t="shared" si="2"/>
        <v>PASS</v>
      </c>
      <c r="J18" s="10" t="str">
        <f t="shared" si="3"/>
        <v>GREEN - Satisfactory</v>
      </c>
      <c r="L18" s="13">
        <f t="shared" si="4"/>
        <v>96.7</v>
      </c>
      <c r="M18" s="14">
        <f t="shared" si="5"/>
        <v>89.7</v>
      </c>
      <c r="N18" t="str">
        <f t="shared" si="6"/>
        <v/>
      </c>
      <c r="O18" t="str">
        <f t="shared" si="7"/>
        <v/>
      </c>
      <c r="P18" t="str">
        <f t="shared" si="8"/>
        <v/>
      </c>
      <c r="Q18" t="str">
        <f t="shared" si="9"/>
        <v/>
      </c>
    </row>
    <row r="19" spans="1:17" x14ac:dyDescent="0.3">
      <c r="A19" s="10">
        <v>1018</v>
      </c>
      <c r="B19" s="10" t="s">
        <v>59</v>
      </c>
      <c r="C19" s="10">
        <v>94</v>
      </c>
      <c r="D19" s="10">
        <v>65</v>
      </c>
      <c r="E19" s="10">
        <v>76</v>
      </c>
      <c r="F19" s="11">
        <f t="shared" si="0"/>
        <v>78.3</v>
      </c>
      <c r="G19" s="12">
        <v>63.3</v>
      </c>
      <c r="H19" s="10" t="str">
        <f t="shared" si="1"/>
        <v>PASS</v>
      </c>
      <c r="I19" s="10" t="str">
        <f t="shared" si="2"/>
        <v>FAIL</v>
      </c>
      <c r="J19" s="10" t="str">
        <f t="shared" si="3"/>
        <v>YELLOW - Single Risk</v>
      </c>
      <c r="L19" t="str">
        <f t="shared" si="4"/>
        <v/>
      </c>
      <c r="M19" t="str">
        <f t="shared" si="5"/>
        <v/>
      </c>
      <c r="N19" s="13">
        <f t="shared" si="6"/>
        <v>63.3</v>
      </c>
      <c r="O19" s="14">
        <f t="shared" si="7"/>
        <v>78.3</v>
      </c>
      <c r="P19" t="str">
        <f t="shared" si="8"/>
        <v/>
      </c>
      <c r="Q19" t="str">
        <f t="shared" si="9"/>
        <v/>
      </c>
    </row>
    <row r="20" spans="1:17" x14ac:dyDescent="0.3">
      <c r="A20" s="10">
        <v>1019</v>
      </c>
      <c r="B20" s="10" t="s">
        <v>60</v>
      </c>
      <c r="C20" s="10">
        <v>69</v>
      </c>
      <c r="D20" s="10">
        <v>69</v>
      </c>
      <c r="E20" s="10">
        <v>81</v>
      </c>
      <c r="F20" s="11">
        <f t="shared" si="0"/>
        <v>73</v>
      </c>
      <c r="G20" s="12">
        <v>68.599999999999994</v>
      </c>
      <c r="H20" s="10" t="str">
        <f t="shared" si="1"/>
        <v>PASS</v>
      </c>
      <c r="I20" s="10" t="str">
        <f t="shared" si="2"/>
        <v>FAIL</v>
      </c>
      <c r="J20" s="10" t="str">
        <f t="shared" si="3"/>
        <v>YELLOW - Single Risk</v>
      </c>
      <c r="L20" t="str">
        <f t="shared" si="4"/>
        <v/>
      </c>
      <c r="M20" t="str">
        <f t="shared" si="5"/>
        <v/>
      </c>
      <c r="N20" s="13">
        <f t="shared" si="6"/>
        <v>68.599999999999994</v>
      </c>
      <c r="O20" s="14">
        <f t="shared" si="7"/>
        <v>73</v>
      </c>
      <c r="P20" t="str">
        <f t="shared" si="8"/>
        <v/>
      </c>
      <c r="Q20" t="str">
        <f t="shared" si="9"/>
        <v/>
      </c>
    </row>
    <row r="21" spans="1:17" x14ac:dyDescent="0.3">
      <c r="A21" s="10">
        <v>1020</v>
      </c>
      <c r="B21" s="10" t="s">
        <v>61</v>
      </c>
      <c r="C21" s="10">
        <v>81</v>
      </c>
      <c r="D21" s="10">
        <v>75</v>
      </c>
      <c r="E21" s="10">
        <v>83</v>
      </c>
      <c r="F21" s="11">
        <f t="shared" si="0"/>
        <v>79.7</v>
      </c>
      <c r="G21" s="12">
        <v>86.6</v>
      </c>
      <c r="H21" s="10" t="str">
        <f t="shared" si="1"/>
        <v>PASS</v>
      </c>
      <c r="I21" s="10" t="str">
        <f t="shared" si="2"/>
        <v>PASS</v>
      </c>
      <c r="J21" s="10" t="str">
        <f t="shared" si="3"/>
        <v>GREEN - Satisfactory</v>
      </c>
      <c r="L21" s="13">
        <f t="shared" si="4"/>
        <v>86.6</v>
      </c>
      <c r="M21" s="14">
        <f t="shared" si="5"/>
        <v>79.7</v>
      </c>
      <c r="N21" t="str">
        <f t="shared" si="6"/>
        <v/>
      </c>
      <c r="O21" t="str">
        <f t="shared" si="7"/>
        <v/>
      </c>
      <c r="P21" t="str">
        <f t="shared" si="8"/>
        <v/>
      </c>
      <c r="Q21" t="str">
        <f t="shared" si="9"/>
        <v/>
      </c>
    </row>
    <row r="22" spans="1:17" x14ac:dyDescent="0.3">
      <c r="A22" s="10">
        <v>1021</v>
      </c>
      <c r="B22" s="10" t="s">
        <v>62</v>
      </c>
      <c r="C22" s="10">
        <v>43</v>
      </c>
      <c r="D22" s="10">
        <v>36</v>
      </c>
      <c r="E22" s="10">
        <v>53</v>
      </c>
      <c r="F22" s="11">
        <f t="shared" si="0"/>
        <v>44</v>
      </c>
      <c r="G22" s="12">
        <v>95.3</v>
      </c>
      <c r="H22" s="10" t="str">
        <f t="shared" si="1"/>
        <v>FAIL</v>
      </c>
      <c r="I22" s="10" t="str">
        <f t="shared" si="2"/>
        <v>PASS</v>
      </c>
      <c r="J22" s="10" t="str">
        <f t="shared" si="3"/>
        <v>YELLOW - Single Risk</v>
      </c>
      <c r="L22" t="str">
        <f t="shared" si="4"/>
        <v/>
      </c>
      <c r="M22" t="str">
        <f t="shared" si="5"/>
        <v/>
      </c>
      <c r="N22" s="13">
        <f t="shared" si="6"/>
        <v>95.3</v>
      </c>
      <c r="O22" s="14">
        <f t="shared" si="7"/>
        <v>44</v>
      </c>
      <c r="P22" t="str">
        <f t="shared" si="8"/>
        <v/>
      </c>
      <c r="Q22" t="str">
        <f t="shared" si="9"/>
        <v/>
      </c>
    </row>
    <row r="23" spans="1:17" x14ac:dyDescent="0.3">
      <c r="A23" s="10">
        <v>1022</v>
      </c>
      <c r="B23" s="10" t="s">
        <v>63</v>
      </c>
      <c r="C23" s="10">
        <v>76</v>
      </c>
      <c r="D23" s="10">
        <v>74</v>
      </c>
      <c r="E23" s="10">
        <v>81</v>
      </c>
      <c r="F23" s="11">
        <f t="shared" si="0"/>
        <v>77</v>
      </c>
      <c r="G23" s="12">
        <v>99.8</v>
      </c>
      <c r="H23" s="10" t="str">
        <f t="shared" si="1"/>
        <v>PASS</v>
      </c>
      <c r="I23" s="10" t="str">
        <f t="shared" si="2"/>
        <v>PASS</v>
      </c>
      <c r="J23" s="10" t="str">
        <f t="shared" si="3"/>
        <v>GREEN - Satisfactory</v>
      </c>
      <c r="L23" s="13">
        <f t="shared" si="4"/>
        <v>99.8</v>
      </c>
      <c r="M23" s="14">
        <f t="shared" si="5"/>
        <v>77</v>
      </c>
      <c r="N23" t="str">
        <f t="shared" si="6"/>
        <v/>
      </c>
      <c r="O23" t="str">
        <f t="shared" si="7"/>
        <v/>
      </c>
      <c r="P23" t="str">
        <f t="shared" si="8"/>
        <v/>
      </c>
      <c r="Q23" t="str">
        <f t="shared" si="9"/>
        <v/>
      </c>
    </row>
    <row r="24" spans="1:17" x14ac:dyDescent="0.3">
      <c r="A24" s="10">
        <v>1023</v>
      </c>
      <c r="B24" s="10" t="s">
        <v>64</v>
      </c>
      <c r="C24" s="10">
        <v>78</v>
      </c>
      <c r="D24" s="10">
        <v>92</v>
      </c>
      <c r="E24" s="10">
        <v>69</v>
      </c>
      <c r="F24" s="11">
        <f t="shared" si="0"/>
        <v>79.7</v>
      </c>
      <c r="G24" s="12">
        <v>88.8</v>
      </c>
      <c r="H24" s="10" t="str">
        <f t="shared" si="1"/>
        <v>PASS</v>
      </c>
      <c r="I24" s="10" t="str">
        <f t="shared" si="2"/>
        <v>PASS</v>
      </c>
      <c r="J24" s="10" t="str">
        <f t="shared" si="3"/>
        <v>GREEN - Satisfactory</v>
      </c>
      <c r="L24" s="13">
        <f t="shared" si="4"/>
        <v>88.8</v>
      </c>
      <c r="M24" s="14">
        <f t="shared" si="5"/>
        <v>79.7</v>
      </c>
      <c r="N24" t="str">
        <f t="shared" si="6"/>
        <v/>
      </c>
      <c r="O24" t="str">
        <f t="shared" si="7"/>
        <v/>
      </c>
      <c r="P24" t="str">
        <f t="shared" si="8"/>
        <v/>
      </c>
      <c r="Q24" t="str">
        <f t="shared" si="9"/>
        <v/>
      </c>
    </row>
    <row r="25" spans="1:17" x14ac:dyDescent="0.3">
      <c r="A25" s="10">
        <v>1024</v>
      </c>
      <c r="B25" s="10" t="s">
        <v>65</v>
      </c>
      <c r="C25" s="10">
        <v>80</v>
      </c>
      <c r="D25" s="10">
        <v>76</v>
      </c>
      <c r="E25" s="10">
        <v>85</v>
      </c>
      <c r="F25" s="11">
        <f t="shared" si="0"/>
        <v>80.3</v>
      </c>
      <c r="G25" s="12">
        <v>58.1</v>
      </c>
      <c r="H25" s="10" t="str">
        <f t="shared" si="1"/>
        <v>PASS</v>
      </c>
      <c r="I25" s="10" t="str">
        <f t="shared" si="2"/>
        <v>FAIL</v>
      </c>
      <c r="J25" s="10" t="str">
        <f t="shared" si="3"/>
        <v>YELLOW - Single Risk</v>
      </c>
      <c r="L25" t="str">
        <f t="shared" si="4"/>
        <v/>
      </c>
      <c r="M25" t="str">
        <f t="shared" si="5"/>
        <v/>
      </c>
      <c r="N25" s="13">
        <f t="shared" si="6"/>
        <v>58.1</v>
      </c>
      <c r="O25" s="14">
        <f t="shared" si="7"/>
        <v>80.3</v>
      </c>
      <c r="P25" t="str">
        <f t="shared" si="8"/>
        <v/>
      </c>
      <c r="Q25" t="str">
        <f t="shared" si="9"/>
        <v/>
      </c>
    </row>
    <row r="26" spans="1:17" x14ac:dyDescent="0.3">
      <c r="A26" s="10">
        <v>1025</v>
      </c>
      <c r="B26" s="10" t="s">
        <v>66</v>
      </c>
      <c r="C26" s="10">
        <v>54</v>
      </c>
      <c r="D26" s="10">
        <v>28</v>
      </c>
      <c r="E26" s="10">
        <v>32</v>
      </c>
      <c r="F26" s="11">
        <f t="shared" si="0"/>
        <v>38</v>
      </c>
      <c r="G26" s="12">
        <v>42.7</v>
      </c>
      <c r="H26" s="10" t="str">
        <f t="shared" si="1"/>
        <v>FAIL</v>
      </c>
      <c r="I26" s="10" t="str">
        <f t="shared" si="2"/>
        <v>FAIL</v>
      </c>
      <c r="J26" s="10" t="str">
        <f t="shared" si="3"/>
        <v>RED - Dual Risk</v>
      </c>
      <c r="L26" t="str">
        <f t="shared" si="4"/>
        <v/>
      </c>
      <c r="M26" t="str">
        <f t="shared" si="5"/>
        <v/>
      </c>
      <c r="N26" t="str">
        <f t="shared" si="6"/>
        <v/>
      </c>
      <c r="O26" t="str">
        <f t="shared" si="7"/>
        <v/>
      </c>
      <c r="P26" s="13">
        <f t="shared" si="8"/>
        <v>42.7</v>
      </c>
      <c r="Q26" s="14">
        <f t="shared" si="9"/>
        <v>38</v>
      </c>
    </row>
    <row r="27" spans="1:17" x14ac:dyDescent="0.3">
      <c r="A27" s="10">
        <v>1026</v>
      </c>
      <c r="B27" s="10" t="s">
        <v>67</v>
      </c>
      <c r="C27" s="10">
        <v>55</v>
      </c>
      <c r="D27" s="10">
        <v>59</v>
      </c>
      <c r="E27" s="10">
        <v>37</v>
      </c>
      <c r="F27" s="11">
        <f t="shared" si="0"/>
        <v>50.3</v>
      </c>
      <c r="G27" s="12">
        <v>95.7</v>
      </c>
      <c r="H27" s="10" t="str">
        <f t="shared" si="1"/>
        <v>FAIL</v>
      </c>
      <c r="I27" s="10" t="str">
        <f t="shared" si="2"/>
        <v>PASS</v>
      </c>
      <c r="J27" s="10" t="str">
        <f t="shared" si="3"/>
        <v>YELLOW - Single Risk</v>
      </c>
      <c r="L27" t="str">
        <f t="shared" si="4"/>
        <v/>
      </c>
      <c r="M27" t="str">
        <f t="shared" si="5"/>
        <v/>
      </c>
      <c r="N27" s="13">
        <f t="shared" si="6"/>
        <v>95.7</v>
      </c>
      <c r="O27" s="14">
        <f t="shared" si="7"/>
        <v>50.3</v>
      </c>
      <c r="P27" t="str">
        <f t="shared" si="8"/>
        <v/>
      </c>
      <c r="Q27" t="str">
        <f t="shared" si="9"/>
        <v/>
      </c>
    </row>
    <row r="28" spans="1:17" x14ac:dyDescent="0.3">
      <c r="A28" s="10">
        <v>1027</v>
      </c>
      <c r="B28" s="10" t="s">
        <v>68</v>
      </c>
      <c r="C28" s="10">
        <v>77</v>
      </c>
      <c r="D28" s="10">
        <v>98</v>
      </c>
      <c r="E28" s="10">
        <v>61</v>
      </c>
      <c r="F28" s="11">
        <f t="shared" si="0"/>
        <v>78.7</v>
      </c>
      <c r="G28" s="12">
        <v>85.5</v>
      </c>
      <c r="H28" s="10" t="str">
        <f t="shared" si="1"/>
        <v>PASS</v>
      </c>
      <c r="I28" s="10" t="str">
        <f t="shared" si="2"/>
        <v>PASS</v>
      </c>
      <c r="J28" s="10" t="str">
        <f t="shared" si="3"/>
        <v>GREEN - Satisfactory</v>
      </c>
      <c r="L28" s="13">
        <f t="shared" si="4"/>
        <v>85.5</v>
      </c>
      <c r="M28" s="14">
        <f t="shared" si="5"/>
        <v>78.7</v>
      </c>
      <c r="N28" t="str">
        <f t="shared" si="6"/>
        <v/>
      </c>
      <c r="O28" t="str">
        <f t="shared" si="7"/>
        <v/>
      </c>
      <c r="P28" t="str">
        <f t="shared" si="8"/>
        <v/>
      </c>
      <c r="Q28" t="str">
        <f t="shared" si="9"/>
        <v/>
      </c>
    </row>
    <row r="29" spans="1:17" x14ac:dyDescent="0.3">
      <c r="A29" s="10">
        <v>1028</v>
      </c>
      <c r="B29" s="10" t="s">
        <v>69</v>
      </c>
      <c r="C29" s="10">
        <v>53</v>
      </c>
      <c r="D29" s="10">
        <v>34</v>
      </c>
      <c r="E29" s="10">
        <v>55</v>
      </c>
      <c r="F29" s="11">
        <f t="shared" si="0"/>
        <v>47.3</v>
      </c>
      <c r="G29" s="12">
        <v>69.3</v>
      </c>
      <c r="H29" s="10" t="str">
        <f t="shared" si="1"/>
        <v>FAIL</v>
      </c>
      <c r="I29" s="10" t="str">
        <f t="shared" si="2"/>
        <v>FAIL</v>
      </c>
      <c r="J29" s="10" t="str">
        <f t="shared" si="3"/>
        <v>RED - Dual Risk</v>
      </c>
      <c r="L29" t="str">
        <f t="shared" si="4"/>
        <v/>
      </c>
      <c r="M29" t="str">
        <f t="shared" si="5"/>
        <v/>
      </c>
      <c r="N29" t="str">
        <f t="shared" si="6"/>
        <v/>
      </c>
      <c r="O29" t="str">
        <f t="shared" si="7"/>
        <v/>
      </c>
      <c r="P29" s="13">
        <f t="shared" si="8"/>
        <v>69.3</v>
      </c>
      <c r="Q29" s="14">
        <f t="shared" si="9"/>
        <v>47.3</v>
      </c>
    </row>
    <row r="30" spans="1:17" x14ac:dyDescent="0.3">
      <c r="A30" s="10">
        <v>1029</v>
      </c>
      <c r="B30" s="10" t="s">
        <v>70</v>
      </c>
      <c r="C30" s="10">
        <v>79</v>
      </c>
      <c r="D30" s="10">
        <v>70</v>
      </c>
      <c r="E30" s="10">
        <v>77</v>
      </c>
      <c r="F30" s="11">
        <f t="shared" si="0"/>
        <v>75.3</v>
      </c>
      <c r="G30" s="12">
        <v>96.5</v>
      </c>
      <c r="H30" s="10" t="str">
        <f t="shared" si="1"/>
        <v>PASS</v>
      </c>
      <c r="I30" s="10" t="str">
        <f t="shared" si="2"/>
        <v>PASS</v>
      </c>
      <c r="J30" s="10" t="str">
        <f t="shared" si="3"/>
        <v>GREEN - Satisfactory</v>
      </c>
      <c r="L30" s="13">
        <f t="shared" si="4"/>
        <v>96.5</v>
      </c>
      <c r="M30" s="14">
        <f t="shared" si="5"/>
        <v>75.3</v>
      </c>
      <c r="N30" t="str">
        <f t="shared" si="6"/>
        <v/>
      </c>
      <c r="O30" t="str">
        <f t="shared" si="7"/>
        <v/>
      </c>
      <c r="P30" t="str">
        <f t="shared" si="8"/>
        <v/>
      </c>
      <c r="Q30" t="str">
        <f t="shared" si="9"/>
        <v/>
      </c>
    </row>
    <row r="31" spans="1:17" x14ac:dyDescent="0.3">
      <c r="A31" s="10">
        <v>1030</v>
      </c>
      <c r="B31" s="10" t="s">
        <v>71</v>
      </c>
      <c r="C31" s="10">
        <v>71</v>
      </c>
      <c r="D31" s="10">
        <v>85</v>
      </c>
      <c r="E31" s="10">
        <v>80</v>
      </c>
      <c r="F31" s="11">
        <f t="shared" si="0"/>
        <v>78.7</v>
      </c>
      <c r="G31" s="12">
        <v>78.099999999999994</v>
      </c>
      <c r="H31" s="10" t="str">
        <f t="shared" si="1"/>
        <v>PASS</v>
      </c>
      <c r="I31" s="10" t="str">
        <f t="shared" si="2"/>
        <v>PASS</v>
      </c>
      <c r="J31" s="10" t="str">
        <f t="shared" si="3"/>
        <v>GREEN - Satisfactory</v>
      </c>
      <c r="L31" s="13">
        <f t="shared" si="4"/>
        <v>78.099999999999994</v>
      </c>
      <c r="M31" s="14">
        <f t="shared" si="5"/>
        <v>78.7</v>
      </c>
      <c r="N31" t="str">
        <f t="shared" si="6"/>
        <v/>
      </c>
      <c r="O31" t="str">
        <f t="shared" si="7"/>
        <v/>
      </c>
      <c r="P31" t="str">
        <f t="shared" si="8"/>
        <v/>
      </c>
      <c r="Q31" t="str">
        <f t="shared" si="9"/>
        <v/>
      </c>
    </row>
    <row r="32" spans="1:17" x14ac:dyDescent="0.3">
      <c r="A32" s="10">
        <v>1031</v>
      </c>
      <c r="B32" s="10" t="s">
        <v>72</v>
      </c>
      <c r="C32" s="10">
        <v>90</v>
      </c>
      <c r="D32" s="10">
        <v>77</v>
      </c>
      <c r="E32" s="10">
        <v>92</v>
      </c>
      <c r="F32" s="11">
        <f t="shared" si="0"/>
        <v>86.3</v>
      </c>
      <c r="G32" s="12">
        <v>99</v>
      </c>
      <c r="H32" s="10" t="str">
        <f t="shared" si="1"/>
        <v>PASS</v>
      </c>
      <c r="I32" s="10" t="str">
        <f t="shared" si="2"/>
        <v>PASS</v>
      </c>
      <c r="J32" s="10" t="str">
        <f t="shared" si="3"/>
        <v>GREEN - Satisfactory</v>
      </c>
      <c r="L32" s="13">
        <f t="shared" si="4"/>
        <v>99</v>
      </c>
      <c r="M32" s="14">
        <f t="shared" si="5"/>
        <v>86.3</v>
      </c>
      <c r="N32" t="str">
        <f t="shared" si="6"/>
        <v/>
      </c>
      <c r="O32" t="str">
        <f t="shared" si="7"/>
        <v/>
      </c>
      <c r="P32" t="str">
        <f t="shared" si="8"/>
        <v/>
      </c>
      <c r="Q32" t="str">
        <f t="shared" si="9"/>
        <v/>
      </c>
    </row>
    <row r="33" spans="1:17" x14ac:dyDescent="0.3">
      <c r="A33" s="10">
        <v>1032</v>
      </c>
      <c r="B33" s="10" t="s">
        <v>73</v>
      </c>
      <c r="C33" s="10">
        <v>58</v>
      </c>
      <c r="D33" s="10">
        <v>40</v>
      </c>
      <c r="E33" s="10">
        <v>57</v>
      </c>
      <c r="F33" s="11">
        <f t="shared" si="0"/>
        <v>51.7</v>
      </c>
      <c r="G33" s="12">
        <v>99.9</v>
      </c>
      <c r="H33" s="10" t="str">
        <f t="shared" si="1"/>
        <v>FAIL</v>
      </c>
      <c r="I33" s="10" t="str">
        <f t="shared" si="2"/>
        <v>PASS</v>
      </c>
      <c r="J33" s="10" t="str">
        <f t="shared" si="3"/>
        <v>YELLOW - Single Risk</v>
      </c>
      <c r="L33" t="str">
        <f t="shared" si="4"/>
        <v/>
      </c>
      <c r="M33" t="str">
        <f t="shared" si="5"/>
        <v/>
      </c>
      <c r="N33" s="13">
        <f t="shared" si="6"/>
        <v>99.9</v>
      </c>
      <c r="O33" s="14">
        <f t="shared" si="7"/>
        <v>51.7</v>
      </c>
      <c r="P33" t="str">
        <f t="shared" si="8"/>
        <v/>
      </c>
      <c r="Q33" t="str">
        <f t="shared" si="9"/>
        <v/>
      </c>
    </row>
    <row r="34" spans="1:17" x14ac:dyDescent="0.3">
      <c r="A34" s="10">
        <v>1033</v>
      </c>
      <c r="B34" s="10" t="s">
        <v>74</v>
      </c>
      <c r="C34" s="10">
        <v>45</v>
      </c>
      <c r="D34" s="10">
        <v>52</v>
      </c>
      <c r="E34" s="10">
        <v>40</v>
      </c>
      <c r="F34" s="11">
        <f t="shared" ref="F34:F65" si="10">ROUND(AVERAGE(C34:E34),1)</f>
        <v>45.7</v>
      </c>
      <c r="G34" s="12">
        <v>94.5</v>
      </c>
      <c r="H34" s="10" t="str">
        <f t="shared" ref="H34:H66" si="11">IF(F34&lt;60,"FAIL","PASS")</f>
        <v>FAIL</v>
      </c>
      <c r="I34" s="10" t="str">
        <f t="shared" ref="I34:I66" si="12">IF(G34&lt;75,"FAIL","PASS")</f>
        <v>PASS</v>
      </c>
      <c r="J34" s="10" t="str">
        <f t="shared" ref="J34:J65" si="13">IF(AND(H34="FAIL",I34="FAIL"),"RED - Dual Risk",IF(OR(H34="FAIL",I34="FAIL"),"YELLOW - Single Risk","GREEN - Satisfactory"))</f>
        <v>YELLOW - Single Risk</v>
      </c>
      <c r="L34" t="str">
        <f t="shared" ref="L34:L66" si="14">IF(J34="GREEN - Satisfactory",G34,"")</f>
        <v/>
      </c>
      <c r="M34" t="str">
        <f t="shared" ref="M34:M66" si="15">IF(J34="GREEN - Satisfactory",F34,"")</f>
        <v/>
      </c>
      <c r="N34" s="13">
        <f t="shared" ref="N34:N66" si="16">IF(J34="YELLOW - Single Risk",G34,"")</f>
        <v>94.5</v>
      </c>
      <c r="O34" s="14">
        <f t="shared" ref="O34:O66" si="17">IF(J34="YELLOW - Single Risk",F34,"")</f>
        <v>45.7</v>
      </c>
      <c r="P34" t="str">
        <f t="shared" ref="P34:P66" si="18">IF(J34="RED - Dual Risk",G34,"")</f>
        <v/>
      </c>
      <c r="Q34" t="str">
        <f t="shared" ref="Q34:Q66" si="19">IF(J34="RED - Dual Risk",F34,"")</f>
        <v/>
      </c>
    </row>
    <row r="35" spans="1:17" x14ac:dyDescent="0.3">
      <c r="A35" s="10">
        <v>1034</v>
      </c>
      <c r="B35" s="10" t="s">
        <v>75</v>
      </c>
      <c r="C35" s="10">
        <v>87</v>
      </c>
      <c r="D35" s="10">
        <v>64</v>
      </c>
      <c r="E35" s="10">
        <v>61</v>
      </c>
      <c r="F35" s="11">
        <f t="shared" si="10"/>
        <v>70.7</v>
      </c>
      <c r="G35" s="12">
        <v>76.2</v>
      </c>
      <c r="H35" s="10" t="str">
        <f t="shared" si="11"/>
        <v>PASS</v>
      </c>
      <c r="I35" s="10" t="str">
        <f t="shared" si="12"/>
        <v>PASS</v>
      </c>
      <c r="J35" s="10" t="str">
        <f t="shared" si="13"/>
        <v>GREEN - Satisfactory</v>
      </c>
      <c r="L35" s="13">
        <f t="shared" si="14"/>
        <v>76.2</v>
      </c>
      <c r="M35" s="14">
        <f t="shared" si="15"/>
        <v>70.7</v>
      </c>
      <c r="N35" t="str">
        <f t="shared" si="16"/>
        <v/>
      </c>
      <c r="O35" t="str">
        <f t="shared" si="17"/>
        <v/>
      </c>
      <c r="P35" t="str">
        <f t="shared" si="18"/>
        <v/>
      </c>
      <c r="Q35" t="str">
        <f t="shared" si="19"/>
        <v/>
      </c>
    </row>
    <row r="36" spans="1:17" x14ac:dyDescent="0.3">
      <c r="A36" s="10">
        <v>1035</v>
      </c>
      <c r="B36" s="10" t="s">
        <v>76</v>
      </c>
      <c r="C36" s="10">
        <v>42</v>
      </c>
      <c r="D36" s="10">
        <v>50</v>
      </c>
      <c r="E36" s="10">
        <v>45</v>
      </c>
      <c r="F36" s="11">
        <f t="shared" si="10"/>
        <v>45.7</v>
      </c>
      <c r="G36" s="12">
        <v>92.6</v>
      </c>
      <c r="H36" s="10" t="str">
        <f t="shared" si="11"/>
        <v>FAIL</v>
      </c>
      <c r="I36" s="10" t="str">
        <f t="shared" si="12"/>
        <v>PASS</v>
      </c>
      <c r="J36" s="10" t="str">
        <f t="shared" si="13"/>
        <v>YELLOW - Single Risk</v>
      </c>
      <c r="L36" t="str">
        <f t="shared" si="14"/>
        <v/>
      </c>
      <c r="M36" t="str">
        <f t="shared" si="15"/>
        <v/>
      </c>
      <c r="N36" s="13">
        <f t="shared" si="16"/>
        <v>92.6</v>
      </c>
      <c r="O36" s="14">
        <f t="shared" si="17"/>
        <v>45.7</v>
      </c>
      <c r="P36" t="str">
        <f t="shared" si="18"/>
        <v/>
      </c>
      <c r="Q36" t="str">
        <f t="shared" si="19"/>
        <v/>
      </c>
    </row>
    <row r="37" spans="1:17" x14ac:dyDescent="0.3">
      <c r="A37" s="10">
        <v>1036</v>
      </c>
      <c r="B37" s="10" t="s">
        <v>77</v>
      </c>
      <c r="C37" s="10">
        <v>95</v>
      </c>
      <c r="D37" s="10">
        <v>95</v>
      </c>
      <c r="E37" s="10">
        <v>74</v>
      </c>
      <c r="F37" s="11">
        <f t="shared" si="10"/>
        <v>88</v>
      </c>
      <c r="G37" s="12">
        <v>86.2</v>
      </c>
      <c r="H37" s="10" t="str">
        <f t="shared" si="11"/>
        <v>PASS</v>
      </c>
      <c r="I37" s="10" t="str">
        <f t="shared" si="12"/>
        <v>PASS</v>
      </c>
      <c r="J37" s="10" t="str">
        <f t="shared" si="13"/>
        <v>GREEN - Satisfactory</v>
      </c>
      <c r="L37" s="13">
        <f t="shared" si="14"/>
        <v>86.2</v>
      </c>
      <c r="M37" s="14">
        <f t="shared" si="15"/>
        <v>88</v>
      </c>
      <c r="N37" t="str">
        <f t="shared" si="16"/>
        <v/>
      </c>
      <c r="O37" t="str">
        <f t="shared" si="17"/>
        <v/>
      </c>
      <c r="P37" t="str">
        <f t="shared" si="18"/>
        <v/>
      </c>
      <c r="Q37" t="str">
        <f t="shared" si="19"/>
        <v/>
      </c>
    </row>
    <row r="38" spans="1:17" x14ac:dyDescent="0.3">
      <c r="A38" s="10">
        <v>1037</v>
      </c>
      <c r="B38" s="10" t="s">
        <v>78</v>
      </c>
      <c r="C38" s="10">
        <v>54</v>
      </c>
      <c r="D38" s="10">
        <v>30</v>
      </c>
      <c r="E38" s="10">
        <v>42</v>
      </c>
      <c r="F38" s="11">
        <f t="shared" si="10"/>
        <v>42</v>
      </c>
      <c r="G38" s="12">
        <v>51.9</v>
      </c>
      <c r="H38" s="10" t="str">
        <f t="shared" si="11"/>
        <v>FAIL</v>
      </c>
      <c r="I38" s="10" t="str">
        <f t="shared" si="12"/>
        <v>FAIL</v>
      </c>
      <c r="J38" s="10" t="str">
        <f t="shared" si="13"/>
        <v>RED - Dual Risk</v>
      </c>
      <c r="L38" t="str">
        <f t="shared" si="14"/>
        <v/>
      </c>
      <c r="M38" t="str">
        <f t="shared" si="15"/>
        <v/>
      </c>
      <c r="N38" t="str">
        <f t="shared" si="16"/>
        <v/>
      </c>
      <c r="O38" t="str">
        <f t="shared" si="17"/>
        <v/>
      </c>
      <c r="P38" s="13">
        <f t="shared" si="18"/>
        <v>51.9</v>
      </c>
      <c r="Q38" s="14">
        <f t="shared" si="19"/>
        <v>42</v>
      </c>
    </row>
    <row r="39" spans="1:17" x14ac:dyDescent="0.3">
      <c r="A39" s="10">
        <v>1038</v>
      </c>
      <c r="B39" s="10" t="s">
        <v>79</v>
      </c>
      <c r="C39" s="10">
        <v>44</v>
      </c>
      <c r="D39" s="10">
        <v>39</v>
      </c>
      <c r="E39" s="10">
        <v>47</v>
      </c>
      <c r="F39" s="11">
        <f t="shared" si="10"/>
        <v>43.3</v>
      </c>
      <c r="G39" s="12">
        <v>93.7</v>
      </c>
      <c r="H39" s="10" t="str">
        <f t="shared" si="11"/>
        <v>FAIL</v>
      </c>
      <c r="I39" s="10" t="str">
        <f t="shared" si="12"/>
        <v>PASS</v>
      </c>
      <c r="J39" s="10" t="str">
        <f t="shared" si="13"/>
        <v>YELLOW - Single Risk</v>
      </c>
      <c r="L39" t="str">
        <f t="shared" si="14"/>
        <v/>
      </c>
      <c r="M39" t="str">
        <f t="shared" si="15"/>
        <v/>
      </c>
      <c r="N39" s="13">
        <f t="shared" si="16"/>
        <v>93.7</v>
      </c>
      <c r="O39" s="14">
        <f t="shared" si="17"/>
        <v>43.3</v>
      </c>
      <c r="P39" t="str">
        <f t="shared" si="18"/>
        <v/>
      </c>
      <c r="Q39" t="str">
        <f t="shared" si="19"/>
        <v/>
      </c>
    </row>
    <row r="40" spans="1:17" x14ac:dyDescent="0.3">
      <c r="A40" s="10">
        <v>1039</v>
      </c>
      <c r="B40" s="10" t="s">
        <v>80</v>
      </c>
      <c r="C40" s="10">
        <v>89</v>
      </c>
      <c r="D40" s="10">
        <v>89</v>
      </c>
      <c r="E40" s="10">
        <v>92</v>
      </c>
      <c r="F40" s="11">
        <f t="shared" si="10"/>
        <v>90</v>
      </c>
      <c r="G40" s="12">
        <v>70</v>
      </c>
      <c r="H40" s="10" t="str">
        <f t="shared" si="11"/>
        <v>PASS</v>
      </c>
      <c r="I40" s="10" t="str">
        <f t="shared" si="12"/>
        <v>FAIL</v>
      </c>
      <c r="J40" s="10" t="str">
        <f t="shared" si="13"/>
        <v>YELLOW - Single Risk</v>
      </c>
      <c r="L40" t="str">
        <f t="shared" si="14"/>
        <v/>
      </c>
      <c r="M40" t="str">
        <f t="shared" si="15"/>
        <v/>
      </c>
      <c r="N40" s="13">
        <f t="shared" si="16"/>
        <v>70</v>
      </c>
      <c r="O40" s="14">
        <f t="shared" si="17"/>
        <v>90</v>
      </c>
      <c r="P40" t="str">
        <f t="shared" si="18"/>
        <v/>
      </c>
      <c r="Q40" t="str">
        <f t="shared" si="19"/>
        <v/>
      </c>
    </row>
    <row r="41" spans="1:17" x14ac:dyDescent="0.3">
      <c r="A41" s="10">
        <v>1040</v>
      </c>
      <c r="B41" s="10" t="s">
        <v>81</v>
      </c>
      <c r="C41" s="10">
        <v>56</v>
      </c>
      <c r="D41" s="10">
        <v>55</v>
      </c>
      <c r="E41" s="10">
        <v>49</v>
      </c>
      <c r="F41" s="11">
        <f t="shared" si="10"/>
        <v>53.3</v>
      </c>
      <c r="G41" s="12">
        <v>46.6</v>
      </c>
      <c r="H41" s="10" t="str">
        <f t="shared" si="11"/>
        <v>FAIL</v>
      </c>
      <c r="I41" s="10" t="str">
        <f t="shared" si="12"/>
        <v>FAIL</v>
      </c>
      <c r="J41" s="10" t="str">
        <f t="shared" si="13"/>
        <v>RED - Dual Risk</v>
      </c>
      <c r="L41" t="str">
        <f t="shared" si="14"/>
        <v/>
      </c>
      <c r="M41" t="str">
        <f t="shared" si="15"/>
        <v/>
      </c>
      <c r="N41" t="str">
        <f t="shared" si="16"/>
        <v/>
      </c>
      <c r="O41" t="str">
        <f t="shared" si="17"/>
        <v/>
      </c>
      <c r="P41" s="13">
        <f t="shared" si="18"/>
        <v>46.6</v>
      </c>
      <c r="Q41" s="14">
        <f t="shared" si="19"/>
        <v>53.3</v>
      </c>
    </row>
    <row r="42" spans="1:17" x14ac:dyDescent="0.3">
      <c r="A42" s="10">
        <v>1041</v>
      </c>
      <c r="B42" s="10" t="s">
        <v>82</v>
      </c>
      <c r="C42" s="10">
        <v>93</v>
      </c>
      <c r="D42" s="10">
        <v>75</v>
      </c>
      <c r="E42" s="10">
        <v>60</v>
      </c>
      <c r="F42" s="11">
        <f t="shared" si="10"/>
        <v>76</v>
      </c>
      <c r="G42" s="12">
        <v>92.6</v>
      </c>
      <c r="H42" s="10" t="str">
        <f t="shared" si="11"/>
        <v>PASS</v>
      </c>
      <c r="I42" s="10" t="str">
        <f t="shared" si="12"/>
        <v>PASS</v>
      </c>
      <c r="J42" s="10" t="str">
        <f t="shared" si="13"/>
        <v>GREEN - Satisfactory</v>
      </c>
      <c r="L42" s="13">
        <f t="shared" si="14"/>
        <v>92.6</v>
      </c>
      <c r="M42" s="14">
        <f t="shared" si="15"/>
        <v>76</v>
      </c>
      <c r="N42" t="str">
        <f t="shared" si="16"/>
        <v/>
      </c>
      <c r="O42" t="str">
        <f t="shared" si="17"/>
        <v/>
      </c>
      <c r="P42" t="str">
        <f t="shared" si="18"/>
        <v/>
      </c>
      <c r="Q42" t="str">
        <f t="shared" si="19"/>
        <v/>
      </c>
    </row>
    <row r="43" spans="1:17" x14ac:dyDescent="0.3">
      <c r="A43" s="10">
        <v>1042</v>
      </c>
      <c r="B43" s="10" t="s">
        <v>83</v>
      </c>
      <c r="C43" s="10">
        <v>55</v>
      </c>
      <c r="D43" s="10">
        <v>51</v>
      </c>
      <c r="E43" s="10">
        <v>31</v>
      </c>
      <c r="F43" s="11">
        <f t="shared" si="10"/>
        <v>45.7</v>
      </c>
      <c r="G43" s="12">
        <v>57.8</v>
      </c>
      <c r="H43" s="10" t="str">
        <f t="shared" si="11"/>
        <v>FAIL</v>
      </c>
      <c r="I43" s="10" t="str">
        <f t="shared" si="12"/>
        <v>FAIL</v>
      </c>
      <c r="J43" s="10" t="str">
        <f t="shared" si="13"/>
        <v>RED - Dual Risk</v>
      </c>
      <c r="L43" t="str">
        <f t="shared" si="14"/>
        <v/>
      </c>
      <c r="M43" t="str">
        <f t="shared" si="15"/>
        <v/>
      </c>
      <c r="N43" t="str">
        <f t="shared" si="16"/>
        <v/>
      </c>
      <c r="O43" t="str">
        <f t="shared" si="17"/>
        <v/>
      </c>
      <c r="P43" s="13">
        <f t="shared" si="18"/>
        <v>57.8</v>
      </c>
      <c r="Q43" s="14">
        <f t="shared" si="19"/>
        <v>45.7</v>
      </c>
    </row>
    <row r="44" spans="1:17" x14ac:dyDescent="0.3">
      <c r="A44" s="10">
        <v>1043</v>
      </c>
      <c r="B44" s="10" t="s">
        <v>84</v>
      </c>
      <c r="C44" s="10">
        <v>67</v>
      </c>
      <c r="D44" s="10">
        <v>67</v>
      </c>
      <c r="E44" s="10">
        <v>89</v>
      </c>
      <c r="F44" s="11">
        <f t="shared" si="10"/>
        <v>74.3</v>
      </c>
      <c r="G44" s="12">
        <v>84.3</v>
      </c>
      <c r="H44" s="10" t="str">
        <f t="shared" si="11"/>
        <v>PASS</v>
      </c>
      <c r="I44" s="10" t="str">
        <f t="shared" si="12"/>
        <v>PASS</v>
      </c>
      <c r="J44" s="10" t="str">
        <f t="shared" si="13"/>
        <v>GREEN - Satisfactory</v>
      </c>
      <c r="L44" s="13">
        <f t="shared" si="14"/>
        <v>84.3</v>
      </c>
      <c r="M44" s="14">
        <f t="shared" si="15"/>
        <v>74.3</v>
      </c>
      <c r="N44" t="str">
        <f t="shared" si="16"/>
        <v/>
      </c>
      <c r="O44" t="str">
        <f t="shared" si="17"/>
        <v/>
      </c>
      <c r="P44" t="str">
        <f t="shared" si="18"/>
        <v/>
      </c>
      <c r="Q44" t="str">
        <f t="shared" si="19"/>
        <v/>
      </c>
    </row>
    <row r="45" spans="1:17" x14ac:dyDescent="0.3">
      <c r="A45" s="10">
        <v>1044</v>
      </c>
      <c r="B45" s="10" t="s">
        <v>85</v>
      </c>
      <c r="C45" s="10">
        <v>49</v>
      </c>
      <c r="D45" s="10">
        <v>41</v>
      </c>
      <c r="E45" s="10">
        <v>38</v>
      </c>
      <c r="F45" s="11">
        <f t="shared" si="10"/>
        <v>42.7</v>
      </c>
      <c r="G45" s="12">
        <v>42.2</v>
      </c>
      <c r="H45" s="10" t="str">
        <f t="shared" si="11"/>
        <v>FAIL</v>
      </c>
      <c r="I45" s="10" t="str">
        <f t="shared" si="12"/>
        <v>FAIL</v>
      </c>
      <c r="J45" s="10" t="str">
        <f t="shared" si="13"/>
        <v>RED - Dual Risk</v>
      </c>
      <c r="L45" t="str">
        <f t="shared" si="14"/>
        <v/>
      </c>
      <c r="M45" t="str">
        <f t="shared" si="15"/>
        <v/>
      </c>
      <c r="N45" t="str">
        <f t="shared" si="16"/>
        <v/>
      </c>
      <c r="O45" t="str">
        <f t="shared" si="17"/>
        <v/>
      </c>
      <c r="P45" s="13">
        <f t="shared" si="18"/>
        <v>42.2</v>
      </c>
      <c r="Q45" s="14">
        <f t="shared" si="19"/>
        <v>42.7</v>
      </c>
    </row>
    <row r="46" spans="1:17" x14ac:dyDescent="0.3">
      <c r="A46" s="10">
        <v>1045</v>
      </c>
      <c r="B46" s="10" t="s">
        <v>86</v>
      </c>
      <c r="C46" s="10">
        <v>64</v>
      </c>
      <c r="D46" s="10">
        <v>67</v>
      </c>
      <c r="E46" s="10">
        <v>77</v>
      </c>
      <c r="F46" s="11">
        <f t="shared" si="10"/>
        <v>69.3</v>
      </c>
      <c r="G46" s="12">
        <v>86.4</v>
      </c>
      <c r="H46" s="10" t="str">
        <f t="shared" si="11"/>
        <v>PASS</v>
      </c>
      <c r="I46" s="10" t="str">
        <f t="shared" si="12"/>
        <v>PASS</v>
      </c>
      <c r="J46" s="10" t="str">
        <f t="shared" si="13"/>
        <v>GREEN - Satisfactory</v>
      </c>
      <c r="L46" s="13">
        <f t="shared" si="14"/>
        <v>86.4</v>
      </c>
      <c r="M46" s="14">
        <f t="shared" si="15"/>
        <v>69.3</v>
      </c>
      <c r="N46" t="str">
        <f t="shared" si="16"/>
        <v/>
      </c>
      <c r="O46" t="str">
        <f t="shared" si="17"/>
        <v/>
      </c>
      <c r="P46" t="str">
        <f t="shared" si="18"/>
        <v/>
      </c>
      <c r="Q46" t="str">
        <f t="shared" si="19"/>
        <v/>
      </c>
    </row>
    <row r="47" spans="1:17" x14ac:dyDescent="0.3">
      <c r="A47" s="10">
        <v>1046</v>
      </c>
      <c r="B47" s="10" t="s">
        <v>87</v>
      </c>
      <c r="C47" s="10">
        <v>65</v>
      </c>
      <c r="D47" s="10">
        <v>85</v>
      </c>
      <c r="E47" s="10">
        <v>85</v>
      </c>
      <c r="F47" s="11">
        <f t="shared" si="10"/>
        <v>78.3</v>
      </c>
      <c r="G47" s="12">
        <v>90.7</v>
      </c>
      <c r="H47" s="10" t="str">
        <f t="shared" si="11"/>
        <v>PASS</v>
      </c>
      <c r="I47" s="10" t="str">
        <f t="shared" si="12"/>
        <v>PASS</v>
      </c>
      <c r="J47" s="10" t="str">
        <f t="shared" si="13"/>
        <v>GREEN - Satisfactory</v>
      </c>
      <c r="L47" s="13">
        <f t="shared" si="14"/>
        <v>90.7</v>
      </c>
      <c r="M47" s="14">
        <f t="shared" si="15"/>
        <v>78.3</v>
      </c>
      <c r="N47" t="str">
        <f t="shared" si="16"/>
        <v/>
      </c>
      <c r="O47" t="str">
        <f t="shared" si="17"/>
        <v/>
      </c>
      <c r="P47" t="str">
        <f t="shared" si="18"/>
        <v/>
      </c>
      <c r="Q47" t="str">
        <f t="shared" si="19"/>
        <v/>
      </c>
    </row>
    <row r="48" spans="1:17" x14ac:dyDescent="0.3">
      <c r="A48" s="10">
        <v>1047</v>
      </c>
      <c r="B48" s="10" t="s">
        <v>88</v>
      </c>
      <c r="C48" s="10">
        <v>80</v>
      </c>
      <c r="D48" s="10">
        <v>61</v>
      </c>
      <c r="E48" s="10">
        <v>92</v>
      </c>
      <c r="F48" s="11">
        <f t="shared" si="10"/>
        <v>77.7</v>
      </c>
      <c r="G48" s="12">
        <v>91.7</v>
      </c>
      <c r="H48" s="10" t="str">
        <f t="shared" si="11"/>
        <v>PASS</v>
      </c>
      <c r="I48" s="10" t="str">
        <f t="shared" si="12"/>
        <v>PASS</v>
      </c>
      <c r="J48" s="10" t="str">
        <f t="shared" si="13"/>
        <v>GREEN - Satisfactory</v>
      </c>
      <c r="L48" s="13">
        <f t="shared" si="14"/>
        <v>91.7</v>
      </c>
      <c r="M48" s="14">
        <f t="shared" si="15"/>
        <v>77.7</v>
      </c>
      <c r="N48" t="str">
        <f t="shared" si="16"/>
        <v/>
      </c>
      <c r="O48" t="str">
        <f t="shared" si="17"/>
        <v/>
      </c>
      <c r="P48" t="str">
        <f t="shared" si="18"/>
        <v/>
      </c>
      <c r="Q48" t="str">
        <f t="shared" si="19"/>
        <v/>
      </c>
    </row>
    <row r="49" spans="1:17" x14ac:dyDescent="0.3">
      <c r="A49" s="10">
        <v>1048</v>
      </c>
      <c r="B49" s="10" t="s">
        <v>89</v>
      </c>
      <c r="C49" s="10">
        <v>75</v>
      </c>
      <c r="D49" s="10">
        <v>88</v>
      </c>
      <c r="E49" s="10">
        <v>100</v>
      </c>
      <c r="F49" s="11">
        <f t="shared" si="10"/>
        <v>87.7</v>
      </c>
      <c r="G49" s="12">
        <v>87.2</v>
      </c>
      <c r="H49" s="10" t="str">
        <f t="shared" si="11"/>
        <v>PASS</v>
      </c>
      <c r="I49" s="10" t="str">
        <f t="shared" si="12"/>
        <v>PASS</v>
      </c>
      <c r="J49" s="10" t="str">
        <f t="shared" si="13"/>
        <v>GREEN - Satisfactory</v>
      </c>
      <c r="L49" s="13">
        <f t="shared" si="14"/>
        <v>87.2</v>
      </c>
      <c r="M49" s="14">
        <f t="shared" si="15"/>
        <v>87.7</v>
      </c>
      <c r="N49" t="str">
        <f t="shared" si="16"/>
        <v/>
      </c>
      <c r="O49" t="str">
        <f t="shared" si="17"/>
        <v/>
      </c>
      <c r="P49" t="str">
        <f t="shared" si="18"/>
        <v/>
      </c>
      <c r="Q49" t="str">
        <f t="shared" si="19"/>
        <v/>
      </c>
    </row>
    <row r="50" spans="1:17" x14ac:dyDescent="0.3">
      <c r="A50" s="10">
        <v>1049</v>
      </c>
      <c r="B50" s="10" t="s">
        <v>90</v>
      </c>
      <c r="C50" s="10">
        <v>64</v>
      </c>
      <c r="D50" s="10">
        <v>99</v>
      </c>
      <c r="E50" s="10">
        <v>61</v>
      </c>
      <c r="F50" s="11">
        <f t="shared" si="10"/>
        <v>74.7</v>
      </c>
      <c r="G50" s="12">
        <v>76.7</v>
      </c>
      <c r="H50" s="10" t="str">
        <f t="shared" si="11"/>
        <v>PASS</v>
      </c>
      <c r="I50" s="10" t="str">
        <f t="shared" si="12"/>
        <v>PASS</v>
      </c>
      <c r="J50" s="10" t="str">
        <f t="shared" si="13"/>
        <v>GREEN - Satisfactory</v>
      </c>
      <c r="L50" s="13">
        <f t="shared" si="14"/>
        <v>76.7</v>
      </c>
      <c r="M50" s="14">
        <f t="shared" si="15"/>
        <v>74.7</v>
      </c>
      <c r="N50" t="str">
        <f t="shared" si="16"/>
        <v/>
      </c>
      <c r="O50" t="str">
        <f t="shared" si="17"/>
        <v/>
      </c>
      <c r="P50" t="str">
        <f t="shared" si="18"/>
        <v/>
      </c>
      <c r="Q50" t="str">
        <f t="shared" si="19"/>
        <v/>
      </c>
    </row>
    <row r="51" spans="1:17" x14ac:dyDescent="0.3">
      <c r="A51" s="10">
        <v>1050</v>
      </c>
      <c r="B51" s="10" t="s">
        <v>91</v>
      </c>
      <c r="C51" s="10">
        <v>67</v>
      </c>
      <c r="D51" s="10">
        <v>80</v>
      </c>
      <c r="E51" s="10">
        <v>69</v>
      </c>
      <c r="F51" s="11">
        <f t="shared" si="10"/>
        <v>72</v>
      </c>
      <c r="G51" s="12">
        <v>77.8</v>
      </c>
      <c r="H51" s="10" t="str">
        <f t="shared" si="11"/>
        <v>PASS</v>
      </c>
      <c r="I51" s="10" t="str">
        <f t="shared" si="12"/>
        <v>PASS</v>
      </c>
      <c r="J51" s="10" t="str">
        <f t="shared" si="13"/>
        <v>GREEN - Satisfactory</v>
      </c>
      <c r="L51" s="13">
        <f t="shared" si="14"/>
        <v>77.8</v>
      </c>
      <c r="M51" s="14">
        <f t="shared" si="15"/>
        <v>72</v>
      </c>
      <c r="N51" t="str">
        <f t="shared" si="16"/>
        <v/>
      </c>
      <c r="O51" t="str">
        <f t="shared" si="17"/>
        <v/>
      </c>
      <c r="P51" t="str">
        <f t="shared" si="18"/>
        <v/>
      </c>
      <c r="Q51" t="str">
        <f t="shared" si="19"/>
        <v/>
      </c>
    </row>
    <row r="52" spans="1:17" x14ac:dyDescent="0.3">
      <c r="A52" s="10">
        <v>1051</v>
      </c>
      <c r="B52" s="10" t="s">
        <v>92</v>
      </c>
      <c r="C52" s="10">
        <v>97</v>
      </c>
      <c r="D52" s="10">
        <v>69</v>
      </c>
      <c r="E52" s="10">
        <v>99</v>
      </c>
      <c r="F52" s="11">
        <f t="shared" si="10"/>
        <v>88.3</v>
      </c>
      <c r="G52" s="12">
        <v>99.7</v>
      </c>
      <c r="H52" s="10" t="str">
        <f t="shared" si="11"/>
        <v>PASS</v>
      </c>
      <c r="I52" s="10" t="str">
        <f t="shared" si="12"/>
        <v>PASS</v>
      </c>
      <c r="J52" s="10" t="str">
        <f t="shared" si="13"/>
        <v>GREEN - Satisfactory</v>
      </c>
      <c r="L52" s="13">
        <f t="shared" si="14"/>
        <v>99.7</v>
      </c>
      <c r="M52" s="14">
        <f t="shared" si="15"/>
        <v>88.3</v>
      </c>
      <c r="N52" t="str">
        <f t="shared" si="16"/>
        <v/>
      </c>
      <c r="O52" t="str">
        <f t="shared" si="17"/>
        <v/>
      </c>
      <c r="P52" t="str">
        <f t="shared" si="18"/>
        <v/>
      </c>
      <c r="Q52" t="str">
        <f t="shared" si="19"/>
        <v/>
      </c>
    </row>
    <row r="53" spans="1:17" x14ac:dyDescent="0.3">
      <c r="A53" s="10">
        <v>1052</v>
      </c>
      <c r="B53" s="10" t="s">
        <v>93</v>
      </c>
      <c r="C53" s="10">
        <v>73</v>
      </c>
      <c r="D53" s="10">
        <v>73</v>
      </c>
      <c r="E53" s="10">
        <v>66</v>
      </c>
      <c r="F53" s="11">
        <f t="shared" si="10"/>
        <v>70.7</v>
      </c>
      <c r="G53" s="12">
        <v>42.7</v>
      </c>
      <c r="H53" s="10" t="str">
        <f t="shared" si="11"/>
        <v>PASS</v>
      </c>
      <c r="I53" s="10" t="str">
        <f t="shared" si="12"/>
        <v>FAIL</v>
      </c>
      <c r="J53" s="10" t="str">
        <f t="shared" si="13"/>
        <v>YELLOW - Single Risk</v>
      </c>
      <c r="L53" t="str">
        <f t="shared" si="14"/>
        <v/>
      </c>
      <c r="M53" t="str">
        <f t="shared" si="15"/>
        <v/>
      </c>
      <c r="N53" s="13">
        <f t="shared" si="16"/>
        <v>42.7</v>
      </c>
      <c r="O53" s="14">
        <f t="shared" si="17"/>
        <v>70.7</v>
      </c>
      <c r="P53" t="str">
        <f t="shared" si="18"/>
        <v/>
      </c>
      <c r="Q53" t="str">
        <f t="shared" si="19"/>
        <v/>
      </c>
    </row>
    <row r="54" spans="1:17" x14ac:dyDescent="0.3">
      <c r="A54" s="10">
        <v>1053</v>
      </c>
      <c r="B54" s="10" t="s">
        <v>94</v>
      </c>
      <c r="C54" s="10">
        <v>43</v>
      </c>
      <c r="D54" s="10">
        <v>43</v>
      </c>
      <c r="E54" s="10">
        <v>54</v>
      </c>
      <c r="F54" s="11">
        <f t="shared" si="10"/>
        <v>46.7</v>
      </c>
      <c r="G54" s="12">
        <v>90.3</v>
      </c>
      <c r="H54" s="10" t="str">
        <f t="shared" si="11"/>
        <v>FAIL</v>
      </c>
      <c r="I54" s="10" t="str">
        <f t="shared" si="12"/>
        <v>PASS</v>
      </c>
      <c r="J54" s="10" t="str">
        <f t="shared" si="13"/>
        <v>YELLOW - Single Risk</v>
      </c>
      <c r="L54" t="str">
        <f t="shared" si="14"/>
        <v/>
      </c>
      <c r="M54" t="str">
        <f t="shared" si="15"/>
        <v/>
      </c>
      <c r="N54" s="13">
        <f t="shared" si="16"/>
        <v>90.3</v>
      </c>
      <c r="O54" s="14">
        <f t="shared" si="17"/>
        <v>46.7</v>
      </c>
      <c r="P54" t="str">
        <f t="shared" si="18"/>
        <v/>
      </c>
      <c r="Q54" t="str">
        <f t="shared" si="19"/>
        <v/>
      </c>
    </row>
    <row r="55" spans="1:17" x14ac:dyDescent="0.3">
      <c r="A55" s="10">
        <v>1054</v>
      </c>
      <c r="B55" s="10" t="s">
        <v>95</v>
      </c>
      <c r="C55" s="10">
        <v>79</v>
      </c>
      <c r="D55" s="10">
        <v>87</v>
      </c>
      <c r="E55" s="10">
        <v>98</v>
      </c>
      <c r="F55" s="11">
        <f t="shared" si="10"/>
        <v>88</v>
      </c>
      <c r="G55" s="12">
        <v>54.4</v>
      </c>
      <c r="H55" s="10" t="str">
        <f t="shared" si="11"/>
        <v>PASS</v>
      </c>
      <c r="I55" s="10" t="str">
        <f t="shared" si="12"/>
        <v>FAIL</v>
      </c>
      <c r="J55" s="10" t="str">
        <f t="shared" si="13"/>
        <v>YELLOW - Single Risk</v>
      </c>
      <c r="L55" t="str">
        <f t="shared" si="14"/>
        <v/>
      </c>
      <c r="M55" t="str">
        <f t="shared" si="15"/>
        <v/>
      </c>
      <c r="N55" s="13">
        <f t="shared" si="16"/>
        <v>54.4</v>
      </c>
      <c r="O55" s="14">
        <f t="shared" si="17"/>
        <v>88</v>
      </c>
      <c r="P55" t="str">
        <f t="shared" si="18"/>
        <v/>
      </c>
      <c r="Q55" t="str">
        <f t="shared" si="19"/>
        <v/>
      </c>
    </row>
    <row r="56" spans="1:17" x14ac:dyDescent="0.3">
      <c r="A56" s="10">
        <v>1055</v>
      </c>
      <c r="B56" s="10" t="s">
        <v>96</v>
      </c>
      <c r="C56" s="10">
        <v>71</v>
      </c>
      <c r="D56" s="10">
        <v>73</v>
      </c>
      <c r="E56" s="10">
        <v>82</v>
      </c>
      <c r="F56" s="11">
        <f t="shared" si="10"/>
        <v>75.3</v>
      </c>
      <c r="G56" s="12">
        <v>87.1</v>
      </c>
      <c r="H56" s="10" t="str">
        <f t="shared" si="11"/>
        <v>PASS</v>
      </c>
      <c r="I56" s="10" t="str">
        <f t="shared" si="12"/>
        <v>PASS</v>
      </c>
      <c r="J56" s="10" t="str">
        <f t="shared" si="13"/>
        <v>GREEN - Satisfactory</v>
      </c>
      <c r="L56" s="13">
        <f t="shared" si="14"/>
        <v>87.1</v>
      </c>
      <c r="M56" s="14">
        <f t="shared" si="15"/>
        <v>75.3</v>
      </c>
      <c r="N56" t="str">
        <f t="shared" si="16"/>
        <v/>
      </c>
      <c r="O56" t="str">
        <f t="shared" si="17"/>
        <v/>
      </c>
      <c r="P56" t="str">
        <f t="shared" si="18"/>
        <v/>
      </c>
      <c r="Q56" t="str">
        <f t="shared" si="19"/>
        <v/>
      </c>
    </row>
    <row r="57" spans="1:17" x14ac:dyDescent="0.3">
      <c r="A57" s="10">
        <v>1056</v>
      </c>
      <c r="B57" s="10" t="s">
        <v>97</v>
      </c>
      <c r="C57" s="10">
        <v>100</v>
      </c>
      <c r="D57" s="10">
        <v>68</v>
      </c>
      <c r="E57" s="10">
        <v>88</v>
      </c>
      <c r="F57" s="11">
        <f t="shared" si="10"/>
        <v>85.3</v>
      </c>
      <c r="G57" s="12">
        <v>85.1</v>
      </c>
      <c r="H57" s="10" t="str">
        <f t="shared" si="11"/>
        <v>PASS</v>
      </c>
      <c r="I57" s="10" t="str">
        <f t="shared" si="12"/>
        <v>PASS</v>
      </c>
      <c r="J57" s="10" t="str">
        <f t="shared" si="13"/>
        <v>GREEN - Satisfactory</v>
      </c>
      <c r="L57" s="13">
        <f t="shared" si="14"/>
        <v>85.1</v>
      </c>
      <c r="M57" s="14">
        <f t="shared" si="15"/>
        <v>85.3</v>
      </c>
      <c r="N57" t="str">
        <f t="shared" si="16"/>
        <v/>
      </c>
      <c r="O57" t="str">
        <f t="shared" si="17"/>
        <v/>
      </c>
      <c r="P57" t="str">
        <f t="shared" si="18"/>
        <v/>
      </c>
      <c r="Q57" t="str">
        <f t="shared" si="19"/>
        <v/>
      </c>
    </row>
    <row r="58" spans="1:17" x14ac:dyDescent="0.3">
      <c r="A58" s="10">
        <v>1057</v>
      </c>
      <c r="B58" s="10" t="s">
        <v>98</v>
      </c>
      <c r="C58" s="10">
        <v>54</v>
      </c>
      <c r="D58" s="10">
        <v>46</v>
      </c>
      <c r="E58" s="10">
        <v>41</v>
      </c>
      <c r="F58" s="11">
        <f t="shared" si="10"/>
        <v>47</v>
      </c>
      <c r="G58" s="12">
        <v>93.8</v>
      </c>
      <c r="H58" s="10" t="str">
        <f t="shared" si="11"/>
        <v>FAIL</v>
      </c>
      <c r="I58" s="10" t="str">
        <f t="shared" si="12"/>
        <v>PASS</v>
      </c>
      <c r="J58" s="10" t="str">
        <f t="shared" si="13"/>
        <v>YELLOW - Single Risk</v>
      </c>
      <c r="L58" t="str">
        <f t="shared" si="14"/>
        <v/>
      </c>
      <c r="M58" t="str">
        <f t="shared" si="15"/>
        <v/>
      </c>
      <c r="N58" s="13">
        <f t="shared" si="16"/>
        <v>93.8</v>
      </c>
      <c r="O58" s="14">
        <f t="shared" si="17"/>
        <v>47</v>
      </c>
      <c r="P58" t="str">
        <f t="shared" si="18"/>
        <v/>
      </c>
      <c r="Q58" t="str">
        <f t="shared" si="19"/>
        <v/>
      </c>
    </row>
    <row r="59" spans="1:17" x14ac:dyDescent="0.3">
      <c r="A59" s="10">
        <v>1058</v>
      </c>
      <c r="B59" s="10" t="s">
        <v>99</v>
      </c>
      <c r="C59" s="10">
        <v>78</v>
      </c>
      <c r="D59" s="10">
        <v>82</v>
      </c>
      <c r="E59" s="10">
        <v>89</v>
      </c>
      <c r="F59" s="11">
        <f t="shared" si="10"/>
        <v>83</v>
      </c>
      <c r="G59" s="12">
        <v>78.900000000000006</v>
      </c>
      <c r="H59" s="10" t="str">
        <f t="shared" si="11"/>
        <v>PASS</v>
      </c>
      <c r="I59" s="10" t="str">
        <f t="shared" si="12"/>
        <v>PASS</v>
      </c>
      <c r="J59" s="10" t="str">
        <f t="shared" si="13"/>
        <v>GREEN - Satisfactory</v>
      </c>
      <c r="L59" s="13">
        <f t="shared" si="14"/>
        <v>78.900000000000006</v>
      </c>
      <c r="M59" s="14">
        <f t="shared" si="15"/>
        <v>83</v>
      </c>
      <c r="N59" t="str">
        <f t="shared" si="16"/>
        <v/>
      </c>
      <c r="O59" t="str">
        <f t="shared" si="17"/>
        <v/>
      </c>
      <c r="P59" t="str">
        <f t="shared" si="18"/>
        <v/>
      </c>
      <c r="Q59" t="str">
        <f t="shared" si="19"/>
        <v/>
      </c>
    </row>
    <row r="60" spans="1:17" x14ac:dyDescent="0.3">
      <c r="A60" s="10">
        <v>1059</v>
      </c>
      <c r="B60" s="10" t="s">
        <v>100</v>
      </c>
      <c r="C60" s="10">
        <v>73</v>
      </c>
      <c r="D60" s="10">
        <v>92</v>
      </c>
      <c r="E60" s="10">
        <v>83</v>
      </c>
      <c r="F60" s="11">
        <f t="shared" si="10"/>
        <v>82.7</v>
      </c>
      <c r="G60" s="12">
        <v>91.9</v>
      </c>
      <c r="H60" s="10" t="str">
        <f t="shared" si="11"/>
        <v>PASS</v>
      </c>
      <c r="I60" s="10" t="str">
        <f t="shared" si="12"/>
        <v>PASS</v>
      </c>
      <c r="J60" s="10" t="str">
        <f t="shared" si="13"/>
        <v>GREEN - Satisfactory</v>
      </c>
      <c r="L60" s="13">
        <f t="shared" si="14"/>
        <v>91.9</v>
      </c>
      <c r="M60" s="14">
        <f t="shared" si="15"/>
        <v>82.7</v>
      </c>
      <c r="N60" t="str">
        <f t="shared" si="16"/>
        <v/>
      </c>
      <c r="O60" t="str">
        <f t="shared" si="17"/>
        <v/>
      </c>
      <c r="P60" t="str">
        <f t="shared" si="18"/>
        <v/>
      </c>
      <c r="Q60" t="str">
        <f t="shared" si="19"/>
        <v/>
      </c>
    </row>
    <row r="61" spans="1:17" x14ac:dyDescent="0.3">
      <c r="A61" s="10">
        <v>1060</v>
      </c>
      <c r="B61" s="10" t="s">
        <v>101</v>
      </c>
      <c r="C61" s="10">
        <v>57</v>
      </c>
      <c r="D61" s="10">
        <v>54</v>
      </c>
      <c r="E61" s="10">
        <v>55</v>
      </c>
      <c r="F61" s="11">
        <f t="shared" si="10"/>
        <v>55.3</v>
      </c>
      <c r="G61" s="12">
        <v>54.2</v>
      </c>
      <c r="H61" s="10" t="str">
        <f t="shared" si="11"/>
        <v>FAIL</v>
      </c>
      <c r="I61" s="10" t="str">
        <f t="shared" si="12"/>
        <v>FAIL</v>
      </c>
      <c r="J61" s="10" t="str">
        <f t="shared" si="13"/>
        <v>RED - Dual Risk</v>
      </c>
      <c r="L61" t="str">
        <f t="shared" si="14"/>
        <v/>
      </c>
      <c r="M61" t="str">
        <f t="shared" si="15"/>
        <v/>
      </c>
      <c r="N61" t="str">
        <f t="shared" si="16"/>
        <v/>
      </c>
      <c r="O61" t="str">
        <f t="shared" si="17"/>
        <v/>
      </c>
      <c r="P61" s="13">
        <f t="shared" si="18"/>
        <v>54.2</v>
      </c>
      <c r="Q61" s="14">
        <f t="shared" si="19"/>
        <v>55.3</v>
      </c>
    </row>
    <row r="62" spans="1:17" x14ac:dyDescent="0.3">
      <c r="A62" s="10">
        <v>1061</v>
      </c>
      <c r="B62" s="10" t="s">
        <v>102</v>
      </c>
      <c r="C62" s="10">
        <v>44</v>
      </c>
      <c r="D62" s="10">
        <v>36</v>
      </c>
      <c r="E62" s="10">
        <v>46</v>
      </c>
      <c r="F62" s="11">
        <f t="shared" si="10"/>
        <v>42</v>
      </c>
      <c r="G62" s="12">
        <v>98.4</v>
      </c>
      <c r="H62" s="10" t="str">
        <f t="shared" si="11"/>
        <v>FAIL</v>
      </c>
      <c r="I62" s="10" t="str">
        <f t="shared" si="12"/>
        <v>PASS</v>
      </c>
      <c r="J62" s="10" t="str">
        <f t="shared" si="13"/>
        <v>YELLOW - Single Risk</v>
      </c>
      <c r="L62" t="str">
        <f t="shared" si="14"/>
        <v/>
      </c>
      <c r="M62" t="str">
        <f t="shared" si="15"/>
        <v/>
      </c>
      <c r="N62" s="13">
        <f t="shared" si="16"/>
        <v>98.4</v>
      </c>
      <c r="O62" s="14">
        <f t="shared" si="17"/>
        <v>42</v>
      </c>
      <c r="P62" t="str">
        <f t="shared" si="18"/>
        <v/>
      </c>
      <c r="Q62" t="str">
        <f t="shared" si="19"/>
        <v/>
      </c>
    </row>
    <row r="63" spans="1:17" x14ac:dyDescent="0.3">
      <c r="A63" s="10">
        <v>1062</v>
      </c>
      <c r="B63" s="10" t="s">
        <v>103</v>
      </c>
      <c r="C63" s="10">
        <v>99</v>
      </c>
      <c r="D63" s="10">
        <v>94</v>
      </c>
      <c r="E63" s="10">
        <v>85</v>
      </c>
      <c r="F63" s="11">
        <f t="shared" si="10"/>
        <v>92.7</v>
      </c>
      <c r="G63" s="12">
        <v>90.8</v>
      </c>
      <c r="H63" s="10" t="str">
        <f t="shared" si="11"/>
        <v>PASS</v>
      </c>
      <c r="I63" s="10" t="str">
        <f t="shared" si="12"/>
        <v>PASS</v>
      </c>
      <c r="J63" s="10" t="str">
        <f t="shared" si="13"/>
        <v>GREEN - Satisfactory</v>
      </c>
      <c r="L63" s="13">
        <f t="shared" si="14"/>
        <v>90.8</v>
      </c>
      <c r="M63" s="14">
        <f t="shared" si="15"/>
        <v>92.7</v>
      </c>
      <c r="N63" t="str">
        <f t="shared" si="16"/>
        <v/>
      </c>
      <c r="O63" t="str">
        <f t="shared" si="17"/>
        <v/>
      </c>
      <c r="P63" t="str">
        <f t="shared" si="18"/>
        <v/>
      </c>
      <c r="Q63" t="str">
        <f t="shared" si="19"/>
        <v/>
      </c>
    </row>
    <row r="64" spans="1:17" x14ac:dyDescent="0.3">
      <c r="A64" s="10">
        <v>1063</v>
      </c>
      <c r="B64" s="10" t="s">
        <v>104</v>
      </c>
      <c r="C64" s="10">
        <v>97</v>
      </c>
      <c r="D64" s="10">
        <v>86</v>
      </c>
      <c r="E64" s="10">
        <v>61</v>
      </c>
      <c r="F64" s="11">
        <f t="shared" si="10"/>
        <v>81.3</v>
      </c>
      <c r="G64" s="12">
        <v>86.9</v>
      </c>
      <c r="H64" s="10" t="str">
        <f t="shared" si="11"/>
        <v>PASS</v>
      </c>
      <c r="I64" s="10" t="str">
        <f t="shared" si="12"/>
        <v>PASS</v>
      </c>
      <c r="J64" s="10" t="str">
        <f t="shared" si="13"/>
        <v>GREEN - Satisfactory</v>
      </c>
      <c r="L64" s="13">
        <f t="shared" si="14"/>
        <v>86.9</v>
      </c>
      <c r="M64" s="14">
        <f t="shared" si="15"/>
        <v>81.3</v>
      </c>
      <c r="N64" t="str">
        <f t="shared" si="16"/>
        <v/>
      </c>
      <c r="O64" t="str">
        <f t="shared" si="17"/>
        <v/>
      </c>
      <c r="P64" t="str">
        <f t="shared" si="18"/>
        <v/>
      </c>
      <c r="Q64" t="str">
        <f t="shared" si="19"/>
        <v/>
      </c>
    </row>
    <row r="65" spans="1:17" x14ac:dyDescent="0.3">
      <c r="A65" s="10">
        <v>1064</v>
      </c>
      <c r="B65" s="10" t="s">
        <v>105</v>
      </c>
      <c r="C65" s="10">
        <v>68</v>
      </c>
      <c r="D65" s="10">
        <v>92</v>
      </c>
      <c r="E65" s="10">
        <v>73</v>
      </c>
      <c r="F65" s="11">
        <f t="shared" si="10"/>
        <v>77.7</v>
      </c>
      <c r="G65" s="12">
        <v>41.2</v>
      </c>
      <c r="H65" s="10" t="str">
        <f t="shared" si="11"/>
        <v>PASS</v>
      </c>
      <c r="I65" s="10" t="str">
        <f t="shared" si="12"/>
        <v>FAIL</v>
      </c>
      <c r="J65" s="10" t="str">
        <f t="shared" si="13"/>
        <v>YELLOW - Single Risk</v>
      </c>
      <c r="L65" t="str">
        <f t="shared" si="14"/>
        <v/>
      </c>
      <c r="M65" t="str">
        <f t="shared" si="15"/>
        <v/>
      </c>
      <c r="N65" s="13">
        <f t="shared" si="16"/>
        <v>41.2</v>
      </c>
      <c r="O65" s="14">
        <f t="shared" si="17"/>
        <v>77.7</v>
      </c>
      <c r="P65" t="str">
        <f t="shared" si="18"/>
        <v/>
      </c>
      <c r="Q65" t="str">
        <f t="shared" si="19"/>
        <v/>
      </c>
    </row>
    <row r="66" spans="1:17" x14ac:dyDescent="0.3">
      <c r="A66" s="10">
        <v>1065</v>
      </c>
      <c r="B66" s="10" t="s">
        <v>106</v>
      </c>
      <c r="C66" s="10">
        <v>43</v>
      </c>
      <c r="D66" s="10">
        <v>53</v>
      </c>
      <c r="E66" s="10">
        <v>31</v>
      </c>
      <c r="F66" s="11">
        <f>ROUND(AVERAGE(C66:E66),1)</f>
        <v>42.3</v>
      </c>
      <c r="G66" s="12">
        <v>72.5</v>
      </c>
      <c r="H66" s="10" t="str">
        <f t="shared" si="11"/>
        <v>FAIL</v>
      </c>
      <c r="I66" s="10" t="str">
        <f t="shared" si="12"/>
        <v>FAIL</v>
      </c>
      <c r="J66" s="10" t="str">
        <f>IF(AND(H66="FAIL",I66="FAIL"),"RED - Dual Risk",IF(OR(H66="FAIL",I66="FAIL"),"YELLOW - Single Risk","GREEN - Satisfactory"))</f>
        <v>RED - Dual Risk</v>
      </c>
      <c r="L66" t="str">
        <f t="shared" si="14"/>
        <v/>
      </c>
      <c r="M66" t="str">
        <f t="shared" si="15"/>
        <v/>
      </c>
      <c r="N66" t="str">
        <f t="shared" si="16"/>
        <v/>
      </c>
      <c r="O66" t="str">
        <f t="shared" si="17"/>
        <v/>
      </c>
      <c r="P66" s="13">
        <f t="shared" si="18"/>
        <v>72.5</v>
      </c>
      <c r="Q66" s="14">
        <f t="shared" si="19"/>
        <v>42.3</v>
      </c>
    </row>
  </sheetData>
  <conditionalFormatting sqref="J2:J66">
    <cfRule type="expression" dxfId="2" priority="2">
      <formula>LEFT(J2,3)="RED"</formula>
    </cfRule>
    <cfRule type="expression" dxfId="1" priority="3">
      <formula>LEFT(J2,6)="YELLOW"</formula>
    </cfRule>
    <cfRule type="expression" dxfId="0" priority="4">
      <formula>LEFT(J2,5)="GREEN"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2"/>
  <sheetViews>
    <sheetView zoomScaleNormal="100" workbookViewId="0">
      <selection activeCell="A15" sqref="A15"/>
    </sheetView>
  </sheetViews>
  <sheetFormatPr defaultColWidth="8.6640625" defaultRowHeight="14.4" x14ac:dyDescent="0.3"/>
  <cols>
    <col min="1" max="1" width="92" customWidth="1"/>
  </cols>
  <sheetData>
    <row r="1" spans="1:1" ht="17.399999999999999" x14ac:dyDescent="0.3">
      <c r="A1" s="15" t="s">
        <v>116</v>
      </c>
    </row>
    <row r="2" spans="1:1" x14ac:dyDescent="0.3">
      <c r="A2" s="16"/>
    </row>
    <row r="3" spans="1:1" x14ac:dyDescent="0.3">
      <c r="A3" s="16" t="s">
        <v>113</v>
      </c>
    </row>
    <row r="4" spans="1:1" x14ac:dyDescent="0.3">
      <c r="A4" s="16"/>
    </row>
    <row r="5" spans="1:1" x14ac:dyDescent="0.3">
      <c r="A5" s="16" t="s">
        <v>107</v>
      </c>
    </row>
    <row r="6" spans="1:1" x14ac:dyDescent="0.3">
      <c r="A6" s="16"/>
    </row>
    <row r="7" spans="1:1" x14ac:dyDescent="0.3">
      <c r="A7" s="16" t="s">
        <v>108</v>
      </c>
    </row>
    <row r="8" spans="1:1" x14ac:dyDescent="0.3">
      <c r="A8" s="16" t="s">
        <v>109</v>
      </c>
    </row>
    <row r="9" spans="1:1" x14ac:dyDescent="0.3">
      <c r="A9" s="16"/>
    </row>
    <row r="10" spans="1:1" x14ac:dyDescent="0.3">
      <c r="A10" s="16" t="s">
        <v>110</v>
      </c>
    </row>
    <row r="11" spans="1:1" x14ac:dyDescent="0.3">
      <c r="A11" s="16" t="s">
        <v>111</v>
      </c>
    </row>
    <row r="12" spans="1:1" x14ac:dyDescent="0.3">
      <c r="A12" s="16" t="s">
        <v>112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Student 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Eslam Aboelnaga‎</cp:lastModifiedBy>
  <cp:revision>1</cp:revision>
  <dcterms:created xsi:type="dcterms:W3CDTF">2026-07-16T22:18:25Z</dcterms:created>
  <dcterms:modified xsi:type="dcterms:W3CDTF">2026-07-18T17:27:30Z</dcterms:modified>
  <dc:language>en-US</dc:language>
</cp:coreProperties>
</file>